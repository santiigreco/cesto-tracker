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C:\Users\juradoh\Downloads\"/>
    </mc:Choice>
  </mc:AlternateContent>
  <xr:revisionPtr revIDLastSave="0" documentId="8_{94856A67-EF57-4404-87FA-5251B79AABF6}" xr6:coauthVersionLast="47" xr6:coauthVersionMax="47" xr10:uidLastSave="{00000000-0000-0000-0000-000000000000}"/>
  <bookViews>
    <workbookView xWindow="-110" yWindow="-110" windowWidth="19420" windowHeight="10300" xr2:uid="{E639BD86-AEE3-43B7-8971-8B51DE0A5668}"/>
  </bookViews>
  <sheets>
    <sheet name="Reporte a FCCF" sheetId="1" r:id="rId1"/>
    <sheet name="Crudo" sheetId="2" state="hidden" r:id="rId2"/>
    <sheet name="Para importar" sheetId="4" state="hidden" r:id="rId3"/>
    <sheet name="Aux" sheetId="3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0" i="4" l="1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AJ20" i="4" s="1"/>
  <c r="C20" i="4"/>
  <c r="B20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AP19" i="4" s="1"/>
  <c r="I19" i="4"/>
  <c r="H19" i="4"/>
  <c r="G19" i="4"/>
  <c r="F19" i="4"/>
  <c r="E19" i="4"/>
  <c r="D19" i="4"/>
  <c r="AJ19" i="4" s="1"/>
  <c r="C19" i="4"/>
  <c r="B19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AQ18" i="4" s="1"/>
  <c r="J18" i="4"/>
  <c r="I18" i="4"/>
  <c r="H18" i="4"/>
  <c r="G18" i="4"/>
  <c r="F18" i="4"/>
  <c r="E18" i="4"/>
  <c r="D18" i="4"/>
  <c r="C18" i="4"/>
  <c r="B18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AO17" i="4" s="1"/>
  <c r="H17" i="4"/>
  <c r="G17" i="4"/>
  <c r="F17" i="4"/>
  <c r="AL17" i="4" s="1"/>
  <c r="E17" i="4"/>
  <c r="D17" i="4"/>
  <c r="C17" i="4"/>
  <c r="B17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AM16" i="4" s="1"/>
  <c r="F16" i="4"/>
  <c r="E16" i="4"/>
  <c r="D16" i="4"/>
  <c r="C16" i="4"/>
  <c r="B16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AK15" i="4" s="1"/>
  <c r="D15" i="4"/>
  <c r="C15" i="4"/>
  <c r="B15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AL14" i="4" s="1"/>
  <c r="E14" i="4"/>
  <c r="D14" i="4"/>
  <c r="C14" i="4"/>
  <c r="B14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AQ12" i="4" s="1"/>
  <c r="J12" i="4"/>
  <c r="I12" i="4"/>
  <c r="H12" i="4"/>
  <c r="AN12" i="4" s="1"/>
  <c r="G12" i="4"/>
  <c r="F12" i="4"/>
  <c r="E12" i="4"/>
  <c r="D12" i="4"/>
  <c r="C12" i="4"/>
  <c r="B12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AM10" i="4" s="1"/>
  <c r="F10" i="4"/>
  <c r="AL10" i="4" s="1"/>
  <c r="E10" i="4"/>
  <c r="AK10" i="4" s="1"/>
  <c r="D10" i="4"/>
  <c r="C10" i="4"/>
  <c r="B10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AN9" i="4" s="1"/>
  <c r="G9" i="4"/>
  <c r="AM9" i="4" s="1"/>
  <c r="F9" i="4"/>
  <c r="E9" i="4"/>
  <c r="D9" i="4"/>
  <c r="C9" i="4"/>
  <c r="B9" i="4"/>
  <c r="Q2" i="4"/>
  <c r="I4" i="4"/>
  <c r="I2" i="4"/>
  <c r="C4" i="4"/>
  <c r="C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AM20" i="4"/>
  <c r="AL20" i="4"/>
  <c r="AK20" i="4"/>
  <c r="AN13" i="4"/>
  <c r="AJ13" i="4"/>
  <c r="AJ11" i="4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P49" i="2"/>
  <c r="O49" i="2"/>
  <c r="N49" i="2"/>
  <c r="M49" i="2"/>
  <c r="L49" i="2"/>
  <c r="K49" i="2"/>
  <c r="J49" i="2"/>
  <c r="I49" i="2"/>
  <c r="P48" i="2"/>
  <c r="O48" i="2"/>
  <c r="N48" i="2"/>
  <c r="M48" i="2"/>
  <c r="L48" i="2"/>
  <c r="K48" i="2"/>
  <c r="J48" i="2"/>
  <c r="I48" i="2"/>
  <c r="P47" i="2"/>
  <c r="O47" i="2"/>
  <c r="N47" i="2"/>
  <c r="M47" i="2"/>
  <c r="L47" i="2"/>
  <c r="K47" i="2"/>
  <c r="J47" i="2"/>
  <c r="I47" i="2"/>
  <c r="P46" i="2"/>
  <c r="O46" i="2"/>
  <c r="N46" i="2"/>
  <c r="M46" i="2"/>
  <c r="L46" i="2"/>
  <c r="K46" i="2"/>
  <c r="J46" i="2"/>
  <c r="I46" i="2"/>
  <c r="P45" i="2"/>
  <c r="O45" i="2"/>
  <c r="N45" i="2"/>
  <c r="M45" i="2"/>
  <c r="L45" i="2"/>
  <c r="K45" i="2"/>
  <c r="J45" i="2"/>
  <c r="I45" i="2"/>
  <c r="P44" i="2"/>
  <c r="O44" i="2"/>
  <c r="N44" i="2"/>
  <c r="M44" i="2"/>
  <c r="L44" i="2"/>
  <c r="K44" i="2"/>
  <c r="J44" i="2"/>
  <c r="I44" i="2"/>
  <c r="P43" i="2"/>
  <c r="O43" i="2"/>
  <c r="N43" i="2"/>
  <c r="M43" i="2"/>
  <c r="L43" i="2"/>
  <c r="K43" i="2"/>
  <c r="J43" i="2"/>
  <c r="I43" i="2"/>
  <c r="P42" i="2"/>
  <c r="O42" i="2"/>
  <c r="N42" i="2"/>
  <c r="M42" i="2"/>
  <c r="L42" i="2"/>
  <c r="K42" i="2"/>
  <c r="J42" i="2"/>
  <c r="I42" i="2"/>
  <c r="P41" i="2"/>
  <c r="O41" i="2"/>
  <c r="N41" i="2"/>
  <c r="M41" i="2"/>
  <c r="L41" i="2"/>
  <c r="K41" i="2"/>
  <c r="J41" i="2"/>
  <c r="I41" i="2"/>
  <c r="P40" i="2"/>
  <c r="O40" i="2"/>
  <c r="N40" i="2"/>
  <c r="M40" i="2"/>
  <c r="L40" i="2"/>
  <c r="K40" i="2"/>
  <c r="J40" i="2"/>
  <c r="I40" i="2"/>
  <c r="P39" i="2"/>
  <c r="O39" i="2"/>
  <c r="N39" i="2"/>
  <c r="M39" i="2"/>
  <c r="L39" i="2"/>
  <c r="K39" i="2"/>
  <c r="J39" i="2"/>
  <c r="I39" i="2"/>
  <c r="P38" i="2"/>
  <c r="O38" i="2"/>
  <c r="N38" i="2"/>
  <c r="M38" i="2"/>
  <c r="L38" i="2"/>
  <c r="K38" i="2"/>
  <c r="J38" i="2"/>
  <c r="I38" i="2"/>
  <c r="P37" i="2"/>
  <c r="O37" i="2"/>
  <c r="N37" i="2"/>
  <c r="M37" i="2"/>
  <c r="L37" i="2"/>
  <c r="K37" i="2"/>
  <c r="J37" i="2"/>
  <c r="I37" i="2"/>
  <c r="P36" i="2"/>
  <c r="O36" i="2"/>
  <c r="N36" i="2"/>
  <c r="M36" i="2"/>
  <c r="L36" i="2"/>
  <c r="K36" i="2"/>
  <c r="J36" i="2"/>
  <c r="I36" i="2"/>
  <c r="P35" i="2"/>
  <c r="O35" i="2"/>
  <c r="N35" i="2"/>
  <c r="M35" i="2"/>
  <c r="L35" i="2"/>
  <c r="K35" i="2"/>
  <c r="J35" i="2"/>
  <c r="I35" i="2"/>
  <c r="P34" i="2"/>
  <c r="O34" i="2"/>
  <c r="N34" i="2"/>
  <c r="M34" i="2"/>
  <c r="L34" i="2"/>
  <c r="K34" i="2"/>
  <c r="J34" i="2"/>
  <c r="I34" i="2"/>
  <c r="P33" i="2"/>
  <c r="O33" i="2"/>
  <c r="N33" i="2"/>
  <c r="M33" i="2"/>
  <c r="L33" i="2"/>
  <c r="K33" i="2"/>
  <c r="J33" i="2"/>
  <c r="I33" i="2"/>
  <c r="P32" i="2"/>
  <c r="O32" i="2"/>
  <c r="N32" i="2"/>
  <c r="M32" i="2"/>
  <c r="L32" i="2"/>
  <c r="K32" i="2"/>
  <c r="J32" i="2"/>
  <c r="I32" i="2"/>
  <c r="P31" i="2"/>
  <c r="O31" i="2"/>
  <c r="N31" i="2"/>
  <c r="M31" i="2"/>
  <c r="L31" i="2"/>
  <c r="K31" i="2"/>
  <c r="J31" i="2"/>
  <c r="I31" i="2"/>
  <c r="P30" i="2"/>
  <c r="O30" i="2"/>
  <c r="N30" i="2"/>
  <c r="M30" i="2"/>
  <c r="L30" i="2"/>
  <c r="K30" i="2"/>
  <c r="J30" i="2"/>
  <c r="I30" i="2"/>
  <c r="P29" i="2"/>
  <c r="O29" i="2"/>
  <c r="N29" i="2"/>
  <c r="M29" i="2"/>
  <c r="L29" i="2"/>
  <c r="K29" i="2"/>
  <c r="J29" i="2"/>
  <c r="I29" i="2"/>
  <c r="P28" i="2"/>
  <c r="O28" i="2"/>
  <c r="N28" i="2"/>
  <c r="M28" i="2"/>
  <c r="L28" i="2"/>
  <c r="K28" i="2"/>
  <c r="J28" i="2"/>
  <c r="I28" i="2"/>
  <c r="P27" i="2"/>
  <c r="O27" i="2"/>
  <c r="N27" i="2"/>
  <c r="M27" i="2"/>
  <c r="L27" i="2"/>
  <c r="K27" i="2"/>
  <c r="J27" i="2"/>
  <c r="I27" i="2"/>
  <c r="P26" i="2"/>
  <c r="O26" i="2"/>
  <c r="N26" i="2"/>
  <c r="M26" i="2"/>
  <c r="L26" i="2"/>
  <c r="K26" i="2"/>
  <c r="J26" i="2"/>
  <c r="I26" i="2"/>
  <c r="I15" i="2"/>
  <c r="J15" i="2"/>
  <c r="K15" i="2"/>
  <c r="L15" i="2"/>
  <c r="M15" i="2"/>
  <c r="N15" i="2"/>
  <c r="O15" i="2"/>
  <c r="P15" i="2"/>
  <c r="I16" i="2"/>
  <c r="J16" i="2"/>
  <c r="K16" i="2"/>
  <c r="L16" i="2"/>
  <c r="M16" i="2"/>
  <c r="N16" i="2"/>
  <c r="O16" i="2"/>
  <c r="P16" i="2"/>
  <c r="I17" i="2"/>
  <c r="J17" i="2"/>
  <c r="K17" i="2"/>
  <c r="L17" i="2"/>
  <c r="M17" i="2"/>
  <c r="N17" i="2"/>
  <c r="O17" i="2"/>
  <c r="P17" i="2"/>
  <c r="I18" i="2"/>
  <c r="J18" i="2"/>
  <c r="K18" i="2"/>
  <c r="L18" i="2"/>
  <c r="M18" i="2"/>
  <c r="N18" i="2"/>
  <c r="O18" i="2"/>
  <c r="P18" i="2"/>
  <c r="I19" i="2"/>
  <c r="J19" i="2"/>
  <c r="K19" i="2"/>
  <c r="L19" i="2"/>
  <c r="M19" i="2"/>
  <c r="N19" i="2"/>
  <c r="O19" i="2"/>
  <c r="P19" i="2"/>
  <c r="I20" i="2"/>
  <c r="J20" i="2"/>
  <c r="K20" i="2"/>
  <c r="L20" i="2"/>
  <c r="M20" i="2"/>
  <c r="N20" i="2"/>
  <c r="O20" i="2"/>
  <c r="P20" i="2"/>
  <c r="I21" i="2"/>
  <c r="J21" i="2"/>
  <c r="K21" i="2"/>
  <c r="L21" i="2"/>
  <c r="M21" i="2"/>
  <c r="N21" i="2"/>
  <c r="O21" i="2"/>
  <c r="P21" i="2"/>
  <c r="I22" i="2"/>
  <c r="J22" i="2"/>
  <c r="K22" i="2"/>
  <c r="L22" i="2"/>
  <c r="M22" i="2"/>
  <c r="N22" i="2"/>
  <c r="O22" i="2"/>
  <c r="P22" i="2"/>
  <c r="I23" i="2"/>
  <c r="J23" i="2"/>
  <c r="K23" i="2"/>
  <c r="L23" i="2"/>
  <c r="M23" i="2"/>
  <c r="N23" i="2"/>
  <c r="O23" i="2"/>
  <c r="P23" i="2"/>
  <c r="I24" i="2"/>
  <c r="J24" i="2"/>
  <c r="K24" i="2"/>
  <c r="L24" i="2"/>
  <c r="M24" i="2"/>
  <c r="N24" i="2"/>
  <c r="O24" i="2"/>
  <c r="P24" i="2"/>
  <c r="I25" i="2"/>
  <c r="J25" i="2"/>
  <c r="K25" i="2"/>
  <c r="L25" i="2"/>
  <c r="M25" i="2"/>
  <c r="N25" i="2"/>
  <c r="O25" i="2"/>
  <c r="P25" i="2"/>
  <c r="J14" i="2"/>
  <c r="K14" i="2"/>
  <c r="L14" i="2"/>
  <c r="M14" i="2"/>
  <c r="N14" i="2"/>
  <c r="O14" i="2"/>
  <c r="P14" i="2"/>
  <c r="I14" i="2"/>
  <c r="I3" i="2"/>
  <c r="J3" i="2"/>
  <c r="K3" i="2"/>
  <c r="L3" i="2"/>
  <c r="M3" i="2"/>
  <c r="N3" i="2"/>
  <c r="O3" i="2"/>
  <c r="P3" i="2"/>
  <c r="I4" i="2"/>
  <c r="J4" i="2"/>
  <c r="K4" i="2"/>
  <c r="L4" i="2"/>
  <c r="M4" i="2"/>
  <c r="N4" i="2"/>
  <c r="O4" i="2"/>
  <c r="P4" i="2"/>
  <c r="I5" i="2"/>
  <c r="J5" i="2"/>
  <c r="K5" i="2"/>
  <c r="L5" i="2"/>
  <c r="M5" i="2"/>
  <c r="N5" i="2"/>
  <c r="O5" i="2"/>
  <c r="P5" i="2"/>
  <c r="I6" i="2"/>
  <c r="J6" i="2"/>
  <c r="K6" i="2"/>
  <c r="L6" i="2"/>
  <c r="M6" i="2"/>
  <c r="N6" i="2"/>
  <c r="O6" i="2"/>
  <c r="P6" i="2"/>
  <c r="I7" i="2"/>
  <c r="J7" i="2"/>
  <c r="K7" i="2"/>
  <c r="L7" i="2"/>
  <c r="M7" i="2"/>
  <c r="N7" i="2"/>
  <c r="O7" i="2"/>
  <c r="P7" i="2"/>
  <c r="I8" i="2"/>
  <c r="J8" i="2"/>
  <c r="K8" i="2"/>
  <c r="L8" i="2"/>
  <c r="M8" i="2"/>
  <c r="N8" i="2"/>
  <c r="O8" i="2"/>
  <c r="P8" i="2"/>
  <c r="I9" i="2"/>
  <c r="J9" i="2"/>
  <c r="K9" i="2"/>
  <c r="L9" i="2"/>
  <c r="M9" i="2"/>
  <c r="N9" i="2"/>
  <c r="O9" i="2"/>
  <c r="P9" i="2"/>
  <c r="I10" i="2"/>
  <c r="J10" i="2"/>
  <c r="K10" i="2"/>
  <c r="L10" i="2"/>
  <c r="M10" i="2"/>
  <c r="N10" i="2"/>
  <c r="O10" i="2"/>
  <c r="P10" i="2"/>
  <c r="I11" i="2"/>
  <c r="J11" i="2"/>
  <c r="K11" i="2"/>
  <c r="L11" i="2"/>
  <c r="M11" i="2"/>
  <c r="N11" i="2"/>
  <c r="O11" i="2"/>
  <c r="P11" i="2"/>
  <c r="I12" i="2"/>
  <c r="J12" i="2"/>
  <c r="K12" i="2"/>
  <c r="L12" i="2"/>
  <c r="M12" i="2"/>
  <c r="N12" i="2"/>
  <c r="O12" i="2"/>
  <c r="P12" i="2"/>
  <c r="I13" i="2"/>
  <c r="J13" i="2"/>
  <c r="K13" i="2"/>
  <c r="L13" i="2"/>
  <c r="M13" i="2"/>
  <c r="N13" i="2"/>
  <c r="O13" i="2"/>
  <c r="P13" i="2"/>
  <c r="J2" i="2"/>
  <c r="K2" i="2"/>
  <c r="L2" i="2"/>
  <c r="M2" i="2"/>
  <c r="N2" i="2"/>
  <c r="O2" i="2"/>
  <c r="P2" i="2"/>
  <c r="I2" i="2"/>
  <c r="H49" i="2"/>
  <c r="G49" i="2"/>
  <c r="H48" i="2"/>
  <c r="G48" i="2"/>
  <c r="H47" i="2"/>
  <c r="G47" i="2"/>
  <c r="H46" i="2"/>
  <c r="G46" i="2"/>
  <c r="H45" i="2"/>
  <c r="G45" i="2"/>
  <c r="H44" i="2"/>
  <c r="G44" i="2"/>
  <c r="H43" i="2"/>
  <c r="G43" i="2"/>
  <c r="H42" i="2"/>
  <c r="G42" i="2"/>
  <c r="H41" i="2"/>
  <c r="G41" i="2"/>
  <c r="H40" i="2"/>
  <c r="G40" i="2"/>
  <c r="H39" i="2"/>
  <c r="G39" i="2"/>
  <c r="H38" i="2"/>
  <c r="G38" i="2"/>
  <c r="H37" i="2"/>
  <c r="G37" i="2"/>
  <c r="H36" i="2"/>
  <c r="G36" i="2"/>
  <c r="H35" i="2"/>
  <c r="G35" i="2"/>
  <c r="H34" i="2"/>
  <c r="G34" i="2"/>
  <c r="H33" i="2"/>
  <c r="G33" i="2"/>
  <c r="H32" i="2"/>
  <c r="G32" i="2"/>
  <c r="H31" i="2"/>
  <c r="G31" i="2"/>
  <c r="H30" i="2"/>
  <c r="G30" i="2"/>
  <c r="H29" i="2"/>
  <c r="G29" i="2"/>
  <c r="H28" i="2"/>
  <c r="G28" i="2"/>
  <c r="H27" i="2"/>
  <c r="G27" i="2"/>
  <c r="H26" i="2"/>
  <c r="G26" i="2"/>
  <c r="H25" i="2"/>
  <c r="G25" i="2"/>
  <c r="H24" i="2"/>
  <c r="G24" i="2"/>
  <c r="H23" i="2"/>
  <c r="G23" i="2"/>
  <c r="H22" i="2"/>
  <c r="G22" i="2"/>
  <c r="H21" i="2"/>
  <c r="G21" i="2"/>
  <c r="H20" i="2"/>
  <c r="G20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H12" i="2"/>
  <c r="H11" i="2"/>
  <c r="H10" i="2"/>
  <c r="H9" i="2"/>
  <c r="H8" i="2"/>
  <c r="H7" i="2"/>
  <c r="H6" i="2"/>
  <c r="H5" i="2"/>
  <c r="H4" i="2"/>
  <c r="H3" i="2"/>
  <c r="H2" i="2"/>
  <c r="G13" i="2"/>
  <c r="G12" i="2"/>
  <c r="G11" i="2"/>
  <c r="G10" i="2"/>
  <c r="G9" i="2"/>
  <c r="G8" i="2"/>
  <c r="G7" i="2"/>
  <c r="G6" i="2"/>
  <c r="G5" i="2"/>
  <c r="G4" i="2"/>
  <c r="G3" i="2"/>
  <c r="G2" i="2"/>
  <c r="A3" i="2"/>
  <c r="B3" i="2"/>
  <c r="C3" i="2"/>
  <c r="D3" i="2"/>
  <c r="E3" i="2"/>
  <c r="A4" i="2"/>
  <c r="B4" i="2"/>
  <c r="C4" i="2"/>
  <c r="D4" i="2"/>
  <c r="E4" i="2"/>
  <c r="A5" i="2"/>
  <c r="B5" i="2"/>
  <c r="C5" i="2"/>
  <c r="D5" i="2"/>
  <c r="E5" i="2"/>
  <c r="A6" i="2"/>
  <c r="B6" i="2"/>
  <c r="C6" i="2"/>
  <c r="D6" i="2"/>
  <c r="E6" i="2"/>
  <c r="A7" i="2"/>
  <c r="B7" i="2"/>
  <c r="C7" i="2"/>
  <c r="D7" i="2"/>
  <c r="E7" i="2"/>
  <c r="A8" i="2"/>
  <c r="B8" i="2"/>
  <c r="C8" i="2"/>
  <c r="D8" i="2"/>
  <c r="E8" i="2"/>
  <c r="A9" i="2"/>
  <c r="B9" i="2"/>
  <c r="C9" i="2"/>
  <c r="D9" i="2"/>
  <c r="E9" i="2"/>
  <c r="A10" i="2"/>
  <c r="B10" i="2"/>
  <c r="C10" i="2"/>
  <c r="D10" i="2"/>
  <c r="E10" i="2"/>
  <c r="A11" i="2"/>
  <c r="B11" i="2"/>
  <c r="C11" i="2"/>
  <c r="D11" i="2"/>
  <c r="E11" i="2"/>
  <c r="A12" i="2"/>
  <c r="B12" i="2"/>
  <c r="C12" i="2"/>
  <c r="D12" i="2"/>
  <c r="E12" i="2"/>
  <c r="A13" i="2"/>
  <c r="B13" i="2"/>
  <c r="C13" i="2"/>
  <c r="D13" i="2"/>
  <c r="E13" i="2"/>
  <c r="A14" i="2"/>
  <c r="B14" i="2"/>
  <c r="C14" i="2"/>
  <c r="D14" i="2"/>
  <c r="E14" i="2"/>
  <c r="A15" i="2"/>
  <c r="B15" i="2"/>
  <c r="C15" i="2"/>
  <c r="D15" i="2"/>
  <c r="E15" i="2"/>
  <c r="A16" i="2"/>
  <c r="B16" i="2"/>
  <c r="C16" i="2"/>
  <c r="D16" i="2"/>
  <c r="E16" i="2"/>
  <c r="A17" i="2"/>
  <c r="B17" i="2"/>
  <c r="C17" i="2"/>
  <c r="D17" i="2"/>
  <c r="E17" i="2"/>
  <c r="A18" i="2"/>
  <c r="B18" i="2"/>
  <c r="C18" i="2"/>
  <c r="D18" i="2"/>
  <c r="E18" i="2"/>
  <c r="A19" i="2"/>
  <c r="B19" i="2"/>
  <c r="C19" i="2"/>
  <c r="D19" i="2"/>
  <c r="E19" i="2"/>
  <c r="A20" i="2"/>
  <c r="B20" i="2"/>
  <c r="C20" i="2"/>
  <c r="D20" i="2"/>
  <c r="E20" i="2"/>
  <c r="A21" i="2"/>
  <c r="B21" i="2"/>
  <c r="C21" i="2"/>
  <c r="D21" i="2"/>
  <c r="E21" i="2"/>
  <c r="A22" i="2"/>
  <c r="B22" i="2"/>
  <c r="C22" i="2"/>
  <c r="D22" i="2"/>
  <c r="E22" i="2"/>
  <c r="A23" i="2"/>
  <c r="B23" i="2"/>
  <c r="C23" i="2"/>
  <c r="D23" i="2"/>
  <c r="E23" i="2"/>
  <c r="A24" i="2"/>
  <c r="B24" i="2"/>
  <c r="C24" i="2"/>
  <c r="D24" i="2"/>
  <c r="E24" i="2"/>
  <c r="A25" i="2"/>
  <c r="B25" i="2"/>
  <c r="C25" i="2"/>
  <c r="D25" i="2"/>
  <c r="E25" i="2"/>
  <c r="A26" i="2"/>
  <c r="B26" i="2"/>
  <c r="C26" i="2"/>
  <c r="D26" i="2"/>
  <c r="E26" i="2"/>
  <c r="A27" i="2"/>
  <c r="B27" i="2"/>
  <c r="C27" i="2"/>
  <c r="D27" i="2"/>
  <c r="E27" i="2"/>
  <c r="A28" i="2"/>
  <c r="B28" i="2"/>
  <c r="C28" i="2"/>
  <c r="D28" i="2"/>
  <c r="E28" i="2"/>
  <c r="A29" i="2"/>
  <c r="B29" i="2"/>
  <c r="C29" i="2"/>
  <c r="D29" i="2"/>
  <c r="E29" i="2"/>
  <c r="A30" i="2"/>
  <c r="B30" i="2"/>
  <c r="C30" i="2"/>
  <c r="D30" i="2"/>
  <c r="E30" i="2"/>
  <c r="A31" i="2"/>
  <c r="B31" i="2"/>
  <c r="C31" i="2"/>
  <c r="D31" i="2"/>
  <c r="E31" i="2"/>
  <c r="A32" i="2"/>
  <c r="B32" i="2"/>
  <c r="C32" i="2"/>
  <c r="D32" i="2"/>
  <c r="E32" i="2"/>
  <c r="A33" i="2"/>
  <c r="B33" i="2"/>
  <c r="C33" i="2"/>
  <c r="D33" i="2"/>
  <c r="E33" i="2"/>
  <c r="A34" i="2"/>
  <c r="B34" i="2"/>
  <c r="C34" i="2"/>
  <c r="D34" i="2"/>
  <c r="E34" i="2"/>
  <c r="A35" i="2"/>
  <c r="B35" i="2"/>
  <c r="C35" i="2"/>
  <c r="D35" i="2"/>
  <c r="E35" i="2"/>
  <c r="A36" i="2"/>
  <c r="B36" i="2"/>
  <c r="C36" i="2"/>
  <c r="D36" i="2"/>
  <c r="E36" i="2"/>
  <c r="A37" i="2"/>
  <c r="B37" i="2"/>
  <c r="C37" i="2"/>
  <c r="D37" i="2"/>
  <c r="E37" i="2"/>
  <c r="A38" i="2"/>
  <c r="B38" i="2"/>
  <c r="C38" i="2"/>
  <c r="D38" i="2"/>
  <c r="E38" i="2"/>
  <c r="A39" i="2"/>
  <c r="B39" i="2"/>
  <c r="C39" i="2"/>
  <c r="D39" i="2"/>
  <c r="E39" i="2"/>
  <c r="A40" i="2"/>
  <c r="B40" i="2"/>
  <c r="C40" i="2"/>
  <c r="D40" i="2"/>
  <c r="E40" i="2"/>
  <c r="A41" i="2"/>
  <c r="B41" i="2"/>
  <c r="C41" i="2"/>
  <c r="D41" i="2"/>
  <c r="E41" i="2"/>
  <c r="A42" i="2"/>
  <c r="B42" i="2"/>
  <c r="C42" i="2"/>
  <c r="D42" i="2"/>
  <c r="E42" i="2"/>
  <c r="A43" i="2"/>
  <c r="B43" i="2"/>
  <c r="C43" i="2"/>
  <c r="D43" i="2"/>
  <c r="E43" i="2"/>
  <c r="A44" i="2"/>
  <c r="B44" i="2"/>
  <c r="C44" i="2"/>
  <c r="D44" i="2"/>
  <c r="E44" i="2"/>
  <c r="A45" i="2"/>
  <c r="B45" i="2"/>
  <c r="C45" i="2"/>
  <c r="D45" i="2"/>
  <c r="E45" i="2"/>
  <c r="A46" i="2"/>
  <c r="B46" i="2"/>
  <c r="C46" i="2"/>
  <c r="D46" i="2"/>
  <c r="E46" i="2"/>
  <c r="A47" i="2"/>
  <c r="B47" i="2"/>
  <c r="C47" i="2"/>
  <c r="D47" i="2"/>
  <c r="E47" i="2"/>
  <c r="A48" i="2"/>
  <c r="B48" i="2"/>
  <c r="C48" i="2"/>
  <c r="D48" i="2"/>
  <c r="E48" i="2"/>
  <c r="A49" i="2"/>
  <c r="B49" i="2"/>
  <c r="C49" i="2"/>
  <c r="D49" i="2"/>
  <c r="E49" i="2"/>
  <c r="E2" i="2"/>
  <c r="D2" i="2"/>
  <c r="C2" i="2"/>
  <c r="B2" i="2"/>
  <c r="A2" i="2"/>
  <c r="AQ20" i="1"/>
  <c r="AP20" i="1"/>
  <c r="AO20" i="1"/>
  <c r="AQ19" i="1"/>
  <c r="AP19" i="1"/>
  <c r="AO19" i="1"/>
  <c r="AQ18" i="1"/>
  <c r="AP18" i="1"/>
  <c r="AO18" i="1"/>
  <c r="AQ17" i="1"/>
  <c r="AP17" i="1"/>
  <c r="AO17" i="1"/>
  <c r="AQ16" i="1"/>
  <c r="AP16" i="1"/>
  <c r="AO16" i="1"/>
  <c r="AQ15" i="1"/>
  <c r="AP15" i="1"/>
  <c r="AO15" i="1"/>
  <c r="AQ14" i="1"/>
  <c r="AP14" i="1"/>
  <c r="AO14" i="1"/>
  <c r="AQ13" i="1"/>
  <c r="AP13" i="1"/>
  <c r="AO13" i="1"/>
  <c r="AQ12" i="1"/>
  <c r="AP12" i="1"/>
  <c r="AO12" i="1"/>
  <c r="AQ11" i="1"/>
  <c r="AP11" i="1"/>
  <c r="AO11" i="1"/>
  <c r="AQ10" i="1"/>
  <c r="AP10" i="1"/>
  <c r="AO10" i="1"/>
  <c r="AQ9" i="1"/>
  <c r="AP9" i="1"/>
  <c r="AO9" i="1"/>
  <c r="AN20" i="1"/>
  <c r="AM20" i="1"/>
  <c r="AL20" i="1"/>
  <c r="AK20" i="1"/>
  <c r="AJ20" i="1"/>
  <c r="AN19" i="1"/>
  <c r="AM19" i="1"/>
  <c r="AL19" i="1"/>
  <c r="AK19" i="1"/>
  <c r="AJ19" i="1"/>
  <c r="AN18" i="1"/>
  <c r="AM18" i="1"/>
  <c r="AL18" i="1"/>
  <c r="AK18" i="1"/>
  <c r="AJ18" i="1"/>
  <c r="AN17" i="1"/>
  <c r="AM17" i="1"/>
  <c r="AL17" i="1"/>
  <c r="AK17" i="1"/>
  <c r="AJ17" i="1"/>
  <c r="AN16" i="1"/>
  <c r="AM16" i="1"/>
  <c r="AL16" i="1"/>
  <c r="AK16" i="1"/>
  <c r="AJ16" i="1"/>
  <c r="AN15" i="1"/>
  <c r="AM15" i="1"/>
  <c r="AL15" i="1"/>
  <c r="AK15" i="1"/>
  <c r="AJ15" i="1"/>
  <c r="AN14" i="1"/>
  <c r="AM14" i="1"/>
  <c r="AL14" i="1"/>
  <c r="AK14" i="1"/>
  <c r="AJ14" i="1"/>
  <c r="AN13" i="1"/>
  <c r="AM13" i="1"/>
  <c r="AL13" i="1"/>
  <c r="AK13" i="1"/>
  <c r="AJ13" i="1"/>
  <c r="AN12" i="1"/>
  <c r="AM12" i="1"/>
  <c r="AL12" i="1"/>
  <c r="AK12" i="1"/>
  <c r="AJ12" i="1"/>
  <c r="AN11" i="1"/>
  <c r="AM11" i="1"/>
  <c r="AL11" i="1"/>
  <c r="AK11" i="1"/>
  <c r="AJ11" i="1"/>
  <c r="AN10" i="1"/>
  <c r="AM10" i="1"/>
  <c r="AL10" i="1"/>
  <c r="AK10" i="1"/>
  <c r="AJ10" i="1"/>
  <c r="AN9" i="1"/>
  <c r="AM9" i="1"/>
  <c r="AL9" i="1"/>
  <c r="AK9" i="1"/>
  <c r="AJ9" i="1"/>
  <c r="AQ16" i="4" l="1"/>
  <c r="AP16" i="4"/>
  <c r="AO13" i="4"/>
  <c r="AM15" i="4"/>
  <c r="AM18" i="4"/>
  <c r="AK11" i="4"/>
  <c r="AK19" i="4"/>
  <c r="AJ14" i="4"/>
  <c r="AL9" i="4"/>
  <c r="AN10" i="4"/>
  <c r="AP11" i="4"/>
  <c r="AN16" i="4"/>
  <c r="AP17" i="4"/>
  <c r="AO16" i="4"/>
  <c r="AP10" i="4"/>
  <c r="AO9" i="4"/>
  <c r="AK13" i="4"/>
  <c r="AM14" i="4"/>
  <c r="J22" i="4"/>
  <c r="AJ10" i="4"/>
  <c r="AL11" i="4"/>
  <c r="AL13" i="4"/>
  <c r="R22" i="4"/>
  <c r="AL19" i="4"/>
  <c r="AN20" i="4"/>
  <c r="AO12" i="4"/>
  <c r="AM13" i="4"/>
  <c r="AO14" i="4"/>
  <c r="AQ15" i="4"/>
  <c r="AK18" i="4"/>
  <c r="AO18" i="4"/>
  <c r="AM19" i="4"/>
  <c r="AQ19" i="4"/>
  <c r="AO20" i="4"/>
  <c r="AJ9" i="4"/>
  <c r="AN11" i="4"/>
  <c r="AL12" i="4"/>
  <c r="AP12" i="4"/>
  <c r="AP14" i="4"/>
  <c r="AJ15" i="4"/>
  <c r="AJ17" i="4"/>
  <c r="AL18" i="4"/>
  <c r="AP18" i="4"/>
  <c r="AN19" i="4"/>
  <c r="AP20" i="4"/>
  <c r="AM12" i="4"/>
  <c r="AQ14" i="4"/>
  <c r="AK17" i="4"/>
  <c r="AO19" i="4"/>
  <c r="AQ20" i="4"/>
  <c r="N22" i="4"/>
  <c r="AM11" i="4"/>
  <c r="AQ13" i="4"/>
  <c r="AK14" i="4"/>
  <c r="AK16" i="4"/>
  <c r="AM17" i="4"/>
  <c r="AJ16" i="4"/>
  <c r="AN18" i="4"/>
  <c r="AN17" i="4"/>
  <c r="AQ17" i="4"/>
  <c r="AJ12" i="4"/>
  <c r="AJ18" i="4"/>
  <c r="AQ9" i="4"/>
  <c r="AK12" i="4"/>
  <c r="AN15" i="4"/>
  <c r="AO15" i="4"/>
  <c r="I22" i="4"/>
  <c r="AL16" i="4"/>
  <c r="AP15" i="4"/>
  <c r="AL15" i="4"/>
  <c r="K22" i="4"/>
  <c r="AN14" i="4"/>
  <c r="AP13" i="4"/>
  <c r="M22" i="4"/>
  <c r="AM22" i="1"/>
  <c r="E22" i="4"/>
  <c r="D22" i="4"/>
  <c r="AQ11" i="4"/>
  <c r="AO11" i="4"/>
  <c r="G22" i="4"/>
  <c r="AQ10" i="4"/>
  <c r="AP22" i="1"/>
  <c r="AO22" i="1"/>
  <c r="AO10" i="4"/>
  <c r="Q22" i="4"/>
  <c r="AN22" i="1"/>
  <c r="P22" i="4"/>
  <c r="O22" i="4"/>
  <c r="AQ22" i="1"/>
  <c r="H22" i="4"/>
  <c r="AL22" i="1"/>
  <c r="AK22" i="1"/>
  <c r="AJ22" i="1"/>
  <c r="S22" i="4"/>
  <c r="L22" i="4"/>
  <c r="AP9" i="4"/>
  <c r="F22" i="4"/>
  <c r="AK9" i="4"/>
  <c r="AM22" i="4" l="1"/>
  <c r="AQ22" i="4"/>
  <c r="AJ22" i="4"/>
  <c r="AO22" i="4"/>
  <c r="AN22" i="4"/>
  <c r="AL22" i="4"/>
  <c r="AK22" i="4"/>
  <c r="AP22" i="4"/>
</calcChain>
</file>

<file path=xl/sharedStrings.xml><?xml version="1.0" encoding="utf-8"?>
<sst xmlns="http://schemas.openxmlformats.org/spreadsheetml/2006/main" count="236" uniqueCount="75">
  <si>
    <t>Club:</t>
  </si>
  <si>
    <t>Vélez</t>
  </si>
  <si>
    <t>Torneo:</t>
  </si>
  <si>
    <t>Apertura 2026</t>
  </si>
  <si>
    <t>Fecha:</t>
  </si>
  <si>
    <t>Rival:</t>
  </si>
  <si>
    <t>Avellaneda</t>
  </si>
  <si>
    <t>Categoría:</t>
  </si>
  <si>
    <t>Primera A</t>
  </si>
  <si>
    <t>1er tiempo</t>
  </si>
  <si>
    <t>2do tiempo</t>
  </si>
  <si>
    <t>1er tiempo suplementario</t>
  </si>
  <si>
    <t>2do tiempo suplementario</t>
  </si>
  <si>
    <t>TOTAL</t>
  </si>
  <si>
    <t>#</t>
  </si>
  <si>
    <t>Nombre</t>
  </si>
  <si>
    <t>Lanza
mientos</t>
  </si>
  <si>
    <t>Goles</t>
  </si>
  <si>
    <t>Rebotes</t>
  </si>
  <si>
    <t>Recu
peros</t>
  </si>
  <si>
    <t>Pér
didas</t>
  </si>
  <si>
    <t>Faltas</t>
  </si>
  <si>
    <t>Recuperos</t>
  </si>
  <si>
    <t>Pérdidas</t>
  </si>
  <si>
    <t>Dobles</t>
  </si>
  <si>
    <t>Triples</t>
  </si>
  <si>
    <t>Ofens</t>
  </si>
  <si>
    <t>Defens</t>
  </si>
  <si>
    <t>Ofensivos</t>
  </si>
  <si>
    <t>Defensivos</t>
  </si>
  <si>
    <t>LUCIA COSTA</t>
  </si>
  <si>
    <t>MARIELA ELIAS</t>
  </si>
  <si>
    <t>MALENA ZUCCARINO</t>
  </si>
  <si>
    <t>JIMENA GARCIA</t>
  </si>
  <si>
    <t>SOFIA NAÓN</t>
  </si>
  <si>
    <t>VICTORIA FONTAN</t>
  </si>
  <si>
    <t>ZAHIRA HERRERA</t>
  </si>
  <si>
    <t>LUCILA GRANATELLI</t>
  </si>
  <si>
    <t>MARIA PAZ GOMEZ</t>
  </si>
  <si>
    <t>LUCIANA BRINGAS</t>
  </si>
  <si>
    <t>CANDELA THIM</t>
  </si>
  <si>
    <t>Estadísticas | Reporte a FCCF v2</t>
  </si>
  <si>
    <t>Categoría</t>
  </si>
  <si>
    <t>Torneo</t>
  </si>
  <si>
    <t>Fecha</t>
  </si>
  <si>
    <t>Club</t>
  </si>
  <si>
    <t>Rival</t>
  </si>
  <si>
    <t>Tiempo</t>
  </si>
  <si>
    <t># jugador</t>
  </si>
  <si>
    <t>Nombre jugador</t>
  </si>
  <si>
    <t>Masculino</t>
  </si>
  <si>
    <t>APV</t>
  </si>
  <si>
    <t>Apertura 2024</t>
  </si>
  <si>
    <t>APV masc A</t>
  </si>
  <si>
    <t>Clausura 2024</t>
  </si>
  <si>
    <t>APV masc B</t>
  </si>
  <si>
    <t>Apertura 2025</t>
  </si>
  <si>
    <t>Clausura 2025</t>
  </si>
  <si>
    <t>Ballester</t>
  </si>
  <si>
    <t>CEF La Plata</t>
  </si>
  <si>
    <t>Clausura 2026</t>
  </si>
  <si>
    <t>Ciudad</t>
  </si>
  <si>
    <t>Apertura 2027</t>
  </si>
  <si>
    <t>GEVP</t>
  </si>
  <si>
    <t>Clausura 2027</t>
  </si>
  <si>
    <t>Hacoaj</t>
  </si>
  <si>
    <t>Apertura 2028</t>
  </si>
  <si>
    <t>San Martín</t>
  </si>
  <si>
    <t>Clausura 2028</t>
  </si>
  <si>
    <t>SITAS</t>
  </si>
  <si>
    <t>Apertura 2029</t>
  </si>
  <si>
    <t>Social Parque</t>
  </si>
  <si>
    <t>Clausura 2029</t>
  </si>
  <si>
    <t>Apertura 2030</t>
  </si>
  <si>
    <t>Clausura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</si>
</sst>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4" fillId="0" borderId="0" xfId="0" applyFont="1"/>
    <xf numFmtId="0" fontId="0" fillId="0" borderId="6" xfId="0" applyBorder="1"/>
    <xf numFmtId="0" fontId="1" fillId="2" borderId="12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14" fontId="0" fillId="0" borderId="0" xfId="0" applyNumberFormat="1"/>
    <xf numFmtId="0" fontId="1" fillId="2" borderId="1" xfId="0" applyFont="1" applyFill="1" applyBorder="1"/>
    <xf numFmtId="0" fontId="0" fillId="0" borderId="12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vertical="center" wrapText="1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/>
      <protection locked="0"/>
    </xf>
    <xf numFmtId="0" fontId="0" fillId="0" borderId="20" xfId="0" applyBorder="1" applyAlignment="1" applyProtection="1">
      <alignment vertical="center" wrapText="1"/>
      <protection locked="0"/>
    </xf>
    <xf numFmtId="0" fontId="0" fillId="0" borderId="19" xfId="0" applyBorder="1" applyAlignment="1" applyProtection="1">
      <alignment horizontal="center" vertic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1" fillId="2" borderId="21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vertical="center" wrapText="1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4" fontId="0" fillId="0" borderId="2" xfId="0" applyNumberFormat="1" applyBorder="1" applyAlignment="1" applyProtection="1">
      <alignment horizontal="center"/>
      <protection locked="0"/>
    </xf>
    <xf numFmtId="14" fontId="0" fillId="0" borderId="3" xfId="0" applyNumberFormat="1" applyBorder="1" applyAlignment="1" applyProtection="1">
      <alignment horizontal="center"/>
      <protection locked="0"/>
    </xf>
    <xf numFmtId="0" fontId="1" fillId="3" borderId="24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2" fillId="2" borderId="11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/>
    </xf>
    <xf numFmtId="0" fontId="0" fillId="3" borderId="16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D335B-1235-4ACF-A5C3-8C6F20FCEA5F}">
  <sheetPr>
    <pageSetUpPr fitToPage="1"/>
  </sheetPr>
  <dimension ref="B2:AQ24"/>
  <sheetViews>
    <sheetView showGridLines="0" tabSelected="1" zoomScale="83" zoomScaleNormal="83" workbookViewId="0">
      <pane xSplit="3" ySplit="8" topLeftCell="D9" activePane="bottomRight" state="frozen"/>
      <selection pane="bottomRight" activeCell="S13" sqref="S13"/>
      <selection pane="bottomLeft" activeCell="A7" sqref="A7"/>
      <selection pane="topRight" activeCell="D1" sqref="D1"/>
    </sheetView>
  </sheetViews>
  <sheetFormatPr defaultColWidth="11.42578125" defaultRowHeight="14.45"/>
  <cols>
    <col min="1" max="1" width="2" customWidth="1"/>
    <col min="2" max="2" width="6.7109375" customWidth="1"/>
    <col min="3" max="3" width="18.7109375" customWidth="1"/>
    <col min="4" max="35" width="6.7109375" customWidth="1"/>
    <col min="36" max="43" width="8.7109375" customWidth="1"/>
  </cols>
  <sheetData>
    <row r="2" spans="2:43">
      <c r="B2" s="13" t="s">
        <v>0</v>
      </c>
      <c r="C2" s="43" t="s">
        <v>1</v>
      </c>
      <c r="D2" s="43"/>
      <c r="E2" s="44"/>
      <c r="F2" s="7"/>
      <c r="G2" s="45" t="s">
        <v>2</v>
      </c>
      <c r="H2" s="46"/>
      <c r="I2" s="43" t="s">
        <v>3</v>
      </c>
      <c r="J2" s="43"/>
      <c r="K2" s="43"/>
      <c r="L2" s="43"/>
      <c r="M2" s="43"/>
      <c r="N2" s="44"/>
      <c r="O2" s="7"/>
      <c r="P2" s="13" t="s">
        <v>4</v>
      </c>
      <c r="Q2" s="39"/>
      <c r="R2" s="39"/>
      <c r="S2" s="40"/>
    </row>
    <row r="3" spans="2:43" ht="7.5" customHeight="1"/>
    <row r="4" spans="2:43">
      <c r="B4" s="13" t="s">
        <v>5</v>
      </c>
      <c r="C4" s="43" t="s">
        <v>6</v>
      </c>
      <c r="D4" s="43"/>
      <c r="E4" s="44"/>
      <c r="G4" s="45" t="s">
        <v>7</v>
      </c>
      <c r="H4" s="46"/>
      <c r="I4" s="43" t="s">
        <v>8</v>
      </c>
      <c r="J4" s="43"/>
      <c r="K4" s="43"/>
      <c r="L4" s="43"/>
      <c r="M4" s="43"/>
      <c r="N4" s="44"/>
    </row>
    <row r="5" spans="2:43" ht="15" customHeight="1" thickBot="1"/>
    <row r="6" spans="2:43" ht="15" thickBot="1">
      <c r="D6" s="48" t="s">
        <v>9</v>
      </c>
      <c r="E6" s="49"/>
      <c r="F6" s="49"/>
      <c r="G6" s="49"/>
      <c r="H6" s="49"/>
      <c r="I6" s="49"/>
      <c r="J6" s="49"/>
      <c r="K6" s="50"/>
      <c r="L6" s="55" t="s">
        <v>10</v>
      </c>
      <c r="M6" s="56"/>
      <c r="N6" s="56"/>
      <c r="O6" s="56"/>
      <c r="P6" s="56"/>
      <c r="Q6" s="56"/>
      <c r="R6" s="56"/>
      <c r="S6" s="57"/>
      <c r="T6" s="48" t="s">
        <v>11</v>
      </c>
      <c r="U6" s="49"/>
      <c r="V6" s="49"/>
      <c r="W6" s="49"/>
      <c r="X6" s="49"/>
      <c r="Y6" s="49"/>
      <c r="Z6" s="49"/>
      <c r="AA6" s="50"/>
      <c r="AB6" s="55" t="s">
        <v>12</v>
      </c>
      <c r="AC6" s="56"/>
      <c r="AD6" s="56"/>
      <c r="AE6" s="56"/>
      <c r="AF6" s="56"/>
      <c r="AG6" s="56"/>
      <c r="AH6" s="56"/>
      <c r="AI6" s="57"/>
      <c r="AJ6" s="58" t="s">
        <v>13</v>
      </c>
      <c r="AK6" s="59"/>
      <c r="AL6" s="59"/>
      <c r="AM6" s="59"/>
      <c r="AN6" s="59"/>
      <c r="AO6" s="59"/>
      <c r="AP6" s="59"/>
      <c r="AQ6" s="60"/>
    </row>
    <row r="7" spans="2:43" ht="15" customHeight="1">
      <c r="B7" s="68" t="s">
        <v>14</v>
      </c>
      <c r="C7" s="70" t="s">
        <v>15</v>
      </c>
      <c r="D7" s="66" t="s">
        <v>16</v>
      </c>
      <c r="E7" s="67" t="s">
        <v>17</v>
      </c>
      <c r="F7" s="67"/>
      <c r="G7" s="67" t="s">
        <v>18</v>
      </c>
      <c r="H7" s="67"/>
      <c r="I7" s="47" t="s">
        <v>19</v>
      </c>
      <c r="J7" s="47" t="s">
        <v>20</v>
      </c>
      <c r="K7" s="51" t="s">
        <v>21</v>
      </c>
      <c r="L7" s="52" t="s">
        <v>16</v>
      </c>
      <c r="M7" s="53" t="s">
        <v>17</v>
      </c>
      <c r="N7" s="53"/>
      <c r="O7" s="53" t="s">
        <v>18</v>
      </c>
      <c r="P7" s="53"/>
      <c r="Q7" s="62" t="s">
        <v>19</v>
      </c>
      <c r="R7" s="62" t="s">
        <v>20</v>
      </c>
      <c r="S7" s="63" t="s">
        <v>21</v>
      </c>
      <c r="T7" s="66" t="s">
        <v>16</v>
      </c>
      <c r="U7" s="67" t="s">
        <v>17</v>
      </c>
      <c r="V7" s="67"/>
      <c r="W7" s="67" t="s">
        <v>18</v>
      </c>
      <c r="X7" s="67"/>
      <c r="Y7" s="47" t="s">
        <v>19</v>
      </c>
      <c r="Z7" s="47" t="s">
        <v>20</v>
      </c>
      <c r="AA7" s="51" t="s">
        <v>21</v>
      </c>
      <c r="AB7" s="52" t="s">
        <v>16</v>
      </c>
      <c r="AC7" s="53" t="s">
        <v>17</v>
      </c>
      <c r="AD7" s="53"/>
      <c r="AE7" s="53" t="s">
        <v>18</v>
      </c>
      <c r="AF7" s="53"/>
      <c r="AG7" s="62" t="s">
        <v>19</v>
      </c>
      <c r="AH7" s="62" t="s">
        <v>20</v>
      </c>
      <c r="AI7" s="63" t="s">
        <v>21</v>
      </c>
      <c r="AJ7" s="64" t="s">
        <v>16</v>
      </c>
      <c r="AK7" s="65" t="s">
        <v>17</v>
      </c>
      <c r="AL7" s="65"/>
      <c r="AM7" s="65" t="s">
        <v>18</v>
      </c>
      <c r="AN7" s="65"/>
      <c r="AO7" s="61" t="s">
        <v>22</v>
      </c>
      <c r="AP7" s="61" t="s">
        <v>23</v>
      </c>
      <c r="AQ7" s="54" t="s">
        <v>21</v>
      </c>
    </row>
    <row r="8" spans="2:43">
      <c r="B8" s="69"/>
      <c r="C8" s="71"/>
      <c r="D8" s="66"/>
      <c r="E8" s="1" t="s">
        <v>24</v>
      </c>
      <c r="F8" s="1" t="s">
        <v>25</v>
      </c>
      <c r="G8" s="36" t="s">
        <v>26</v>
      </c>
      <c r="H8" s="36" t="s">
        <v>27</v>
      </c>
      <c r="I8" s="47"/>
      <c r="J8" s="47"/>
      <c r="K8" s="51"/>
      <c r="L8" s="52"/>
      <c r="M8" s="2" t="s">
        <v>24</v>
      </c>
      <c r="N8" s="2" t="s">
        <v>25</v>
      </c>
      <c r="O8" s="37" t="s">
        <v>26</v>
      </c>
      <c r="P8" s="37" t="s">
        <v>27</v>
      </c>
      <c r="Q8" s="62"/>
      <c r="R8" s="62"/>
      <c r="S8" s="63"/>
      <c r="T8" s="66"/>
      <c r="U8" s="1" t="s">
        <v>24</v>
      </c>
      <c r="V8" s="1" t="s">
        <v>25</v>
      </c>
      <c r="W8" s="36" t="s">
        <v>26</v>
      </c>
      <c r="X8" s="36" t="s">
        <v>27</v>
      </c>
      <c r="Y8" s="47"/>
      <c r="Z8" s="47"/>
      <c r="AA8" s="51"/>
      <c r="AB8" s="52"/>
      <c r="AC8" s="2" t="s">
        <v>24</v>
      </c>
      <c r="AD8" s="2" t="s">
        <v>25</v>
      </c>
      <c r="AE8" s="37" t="s">
        <v>26</v>
      </c>
      <c r="AF8" s="37" t="s">
        <v>27</v>
      </c>
      <c r="AG8" s="62"/>
      <c r="AH8" s="62"/>
      <c r="AI8" s="63"/>
      <c r="AJ8" s="64"/>
      <c r="AK8" s="3" t="s">
        <v>24</v>
      </c>
      <c r="AL8" s="3" t="s">
        <v>25</v>
      </c>
      <c r="AM8" s="38" t="s">
        <v>28</v>
      </c>
      <c r="AN8" s="38" t="s">
        <v>29</v>
      </c>
      <c r="AO8" s="61"/>
      <c r="AP8" s="61"/>
      <c r="AQ8" s="54"/>
    </row>
    <row r="9" spans="2:43" ht="30" customHeight="1">
      <c r="B9" s="14">
        <v>1</v>
      </c>
      <c r="C9" s="15" t="s">
        <v>30</v>
      </c>
      <c r="D9" s="14">
        <v>4</v>
      </c>
      <c r="E9" s="16">
        <v>1</v>
      </c>
      <c r="F9" s="16">
        <v>0</v>
      </c>
      <c r="G9" s="16">
        <v>2</v>
      </c>
      <c r="H9" s="16">
        <v>1</v>
      </c>
      <c r="I9" s="16">
        <v>0</v>
      </c>
      <c r="J9" s="16">
        <v>2</v>
      </c>
      <c r="K9" s="17">
        <v>1</v>
      </c>
      <c r="L9" s="14">
        <v>0</v>
      </c>
      <c r="M9" s="16">
        <v>0</v>
      </c>
      <c r="N9" s="16">
        <v>0</v>
      </c>
      <c r="O9" s="16">
        <v>1</v>
      </c>
      <c r="P9" s="16">
        <v>0</v>
      </c>
      <c r="Q9" s="16">
        <v>0</v>
      </c>
      <c r="R9" s="16">
        <v>1</v>
      </c>
      <c r="S9" s="17">
        <v>5</v>
      </c>
      <c r="T9" s="14"/>
      <c r="U9" s="16"/>
      <c r="V9" s="16"/>
      <c r="W9" s="16"/>
      <c r="X9" s="16"/>
      <c r="Y9" s="16"/>
      <c r="Z9" s="16"/>
      <c r="AA9" s="17"/>
      <c r="AB9" s="14"/>
      <c r="AC9" s="16"/>
      <c r="AD9" s="16"/>
      <c r="AE9" s="16"/>
      <c r="AF9" s="16"/>
      <c r="AG9" s="16"/>
      <c r="AH9" s="16"/>
      <c r="AI9" s="17"/>
      <c r="AJ9" s="8">
        <f t="shared" ref="AJ9:AJ20" si="0">+D9+L9+T9+AB9</f>
        <v>4</v>
      </c>
      <c r="AK9" s="4">
        <f t="shared" ref="AK9:AK20" si="1">+E9+M9+U9+AC9</f>
        <v>1</v>
      </c>
      <c r="AL9" s="4">
        <f t="shared" ref="AL9:AL20" si="2">+F9+N9+V9+AD9</f>
        <v>0</v>
      </c>
      <c r="AM9" s="4">
        <f t="shared" ref="AM9:AM20" si="3">+G9+O9+W9+AE9</f>
        <v>3</v>
      </c>
      <c r="AN9" s="4">
        <f t="shared" ref="AN9:AN20" si="4">+H9+P9+X9+AF9</f>
        <v>1</v>
      </c>
      <c r="AO9" s="4">
        <f t="shared" ref="AO9:AQ9" si="5">+I9+Q9+Y9+AG9</f>
        <v>0</v>
      </c>
      <c r="AP9" s="4">
        <f t="shared" si="5"/>
        <v>3</v>
      </c>
      <c r="AQ9" s="5">
        <f t="shared" si="5"/>
        <v>6</v>
      </c>
    </row>
    <row r="10" spans="2:43" ht="30" customHeight="1">
      <c r="B10" s="14">
        <v>5</v>
      </c>
      <c r="C10" s="15" t="s">
        <v>31</v>
      </c>
      <c r="D10" s="14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7">
        <v>0</v>
      </c>
      <c r="L10" s="14">
        <v>1</v>
      </c>
      <c r="M10" s="16">
        <v>0</v>
      </c>
      <c r="N10" s="16">
        <v>0</v>
      </c>
      <c r="O10" s="16">
        <v>0</v>
      </c>
      <c r="P10" s="16">
        <v>3</v>
      </c>
      <c r="Q10" s="16">
        <v>2</v>
      </c>
      <c r="R10" s="16">
        <v>4</v>
      </c>
      <c r="S10" s="17">
        <v>5</v>
      </c>
      <c r="T10" s="14"/>
      <c r="U10" s="16"/>
      <c r="V10" s="16"/>
      <c r="W10" s="16"/>
      <c r="X10" s="16"/>
      <c r="Y10" s="16"/>
      <c r="Z10" s="16"/>
      <c r="AA10" s="17"/>
      <c r="AB10" s="14"/>
      <c r="AC10" s="16"/>
      <c r="AD10" s="16"/>
      <c r="AE10" s="16"/>
      <c r="AF10" s="16"/>
      <c r="AG10" s="16"/>
      <c r="AH10" s="16"/>
      <c r="AI10" s="17"/>
      <c r="AJ10" s="8">
        <f t="shared" si="0"/>
        <v>1</v>
      </c>
      <c r="AK10" s="4">
        <f t="shared" si="1"/>
        <v>0</v>
      </c>
      <c r="AL10" s="4">
        <f t="shared" si="2"/>
        <v>0</v>
      </c>
      <c r="AM10" s="4">
        <f t="shared" si="3"/>
        <v>0</v>
      </c>
      <c r="AN10" s="4">
        <f t="shared" si="4"/>
        <v>3</v>
      </c>
      <c r="AO10" s="4">
        <f t="shared" ref="AO10:AQ10" si="6">+I10+Q10+Y10+AG10</f>
        <v>2</v>
      </c>
      <c r="AP10" s="4">
        <f t="shared" si="6"/>
        <v>4</v>
      </c>
      <c r="AQ10" s="5">
        <f t="shared" si="6"/>
        <v>5</v>
      </c>
    </row>
    <row r="11" spans="2:43" ht="30" customHeight="1">
      <c r="B11" s="14">
        <v>6</v>
      </c>
      <c r="C11" s="15" t="s">
        <v>32</v>
      </c>
      <c r="D11" s="14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7">
        <v>0</v>
      </c>
      <c r="L11" s="14">
        <v>4</v>
      </c>
      <c r="M11" s="16">
        <v>2</v>
      </c>
      <c r="N11" s="16">
        <v>0</v>
      </c>
      <c r="O11" s="16">
        <v>2</v>
      </c>
      <c r="P11" s="16">
        <v>1</v>
      </c>
      <c r="Q11" s="16">
        <v>0</v>
      </c>
      <c r="R11" s="16">
        <v>0</v>
      </c>
      <c r="S11" s="17">
        <v>3</v>
      </c>
      <c r="T11" s="14"/>
      <c r="U11" s="16"/>
      <c r="V11" s="16"/>
      <c r="W11" s="16"/>
      <c r="X11" s="16"/>
      <c r="Y11" s="16"/>
      <c r="Z11" s="16"/>
      <c r="AA11" s="17"/>
      <c r="AB11" s="14"/>
      <c r="AC11" s="16"/>
      <c r="AD11" s="16"/>
      <c r="AE11" s="16"/>
      <c r="AF11" s="16"/>
      <c r="AG11" s="16"/>
      <c r="AH11" s="16"/>
      <c r="AI11" s="17"/>
      <c r="AJ11" s="8">
        <f t="shared" si="0"/>
        <v>4</v>
      </c>
      <c r="AK11" s="4">
        <f t="shared" si="1"/>
        <v>2</v>
      </c>
      <c r="AL11" s="4">
        <f t="shared" si="2"/>
        <v>0</v>
      </c>
      <c r="AM11" s="4">
        <f t="shared" si="3"/>
        <v>2</v>
      </c>
      <c r="AN11" s="4">
        <f t="shared" si="4"/>
        <v>1</v>
      </c>
      <c r="AO11" s="4">
        <f t="shared" ref="AO11:AQ11" si="7">+I11+Q11+Y11+AG11</f>
        <v>0</v>
      </c>
      <c r="AP11" s="4">
        <f t="shared" si="7"/>
        <v>0</v>
      </c>
      <c r="AQ11" s="5">
        <f t="shared" si="7"/>
        <v>3</v>
      </c>
    </row>
    <row r="12" spans="2:43" ht="30" customHeight="1">
      <c r="B12" s="14">
        <v>7</v>
      </c>
      <c r="C12" s="15" t="s">
        <v>33</v>
      </c>
      <c r="D12" s="14">
        <v>11</v>
      </c>
      <c r="E12" s="16">
        <v>5</v>
      </c>
      <c r="F12" s="16">
        <v>0</v>
      </c>
      <c r="G12" s="16">
        <v>0</v>
      </c>
      <c r="H12" s="16">
        <v>0</v>
      </c>
      <c r="I12" s="16">
        <v>1</v>
      </c>
      <c r="J12" s="16">
        <v>2</v>
      </c>
      <c r="K12" s="17">
        <v>2</v>
      </c>
      <c r="L12" s="14">
        <v>9</v>
      </c>
      <c r="M12" s="16">
        <v>4</v>
      </c>
      <c r="N12" s="16">
        <v>0</v>
      </c>
      <c r="O12" s="16">
        <v>1</v>
      </c>
      <c r="P12" s="16">
        <v>0</v>
      </c>
      <c r="Q12" s="16">
        <v>0</v>
      </c>
      <c r="R12" s="16">
        <v>1</v>
      </c>
      <c r="S12" s="17">
        <v>1</v>
      </c>
      <c r="T12" s="14"/>
      <c r="U12" s="16"/>
      <c r="V12" s="16"/>
      <c r="W12" s="16"/>
      <c r="X12" s="16"/>
      <c r="Y12" s="16"/>
      <c r="Z12" s="16"/>
      <c r="AA12" s="17"/>
      <c r="AB12" s="14"/>
      <c r="AC12" s="16"/>
      <c r="AD12" s="16"/>
      <c r="AE12" s="16"/>
      <c r="AF12" s="16"/>
      <c r="AG12" s="16"/>
      <c r="AH12" s="16"/>
      <c r="AI12" s="17"/>
      <c r="AJ12" s="8">
        <f t="shared" si="0"/>
        <v>20</v>
      </c>
      <c r="AK12" s="4">
        <f t="shared" si="1"/>
        <v>9</v>
      </c>
      <c r="AL12" s="4">
        <f t="shared" si="2"/>
        <v>0</v>
      </c>
      <c r="AM12" s="4">
        <f t="shared" si="3"/>
        <v>1</v>
      </c>
      <c r="AN12" s="4">
        <f t="shared" si="4"/>
        <v>0</v>
      </c>
      <c r="AO12" s="4">
        <f t="shared" ref="AO12:AQ12" si="8">+I12+Q12+Y12+AG12</f>
        <v>1</v>
      </c>
      <c r="AP12" s="4">
        <f t="shared" si="8"/>
        <v>3</v>
      </c>
      <c r="AQ12" s="5">
        <f t="shared" si="8"/>
        <v>3</v>
      </c>
    </row>
    <row r="13" spans="2:43" ht="30" customHeight="1">
      <c r="B13" s="14">
        <v>8</v>
      </c>
      <c r="C13" s="15" t="s">
        <v>34</v>
      </c>
      <c r="D13" s="14">
        <v>6</v>
      </c>
      <c r="E13" s="16">
        <v>3</v>
      </c>
      <c r="F13" s="16">
        <v>0</v>
      </c>
      <c r="G13" s="16">
        <v>0</v>
      </c>
      <c r="H13" s="16">
        <v>3</v>
      </c>
      <c r="I13" s="16">
        <v>0</v>
      </c>
      <c r="J13" s="16">
        <v>3</v>
      </c>
      <c r="K13" s="17">
        <v>2</v>
      </c>
      <c r="L13" s="14">
        <v>8</v>
      </c>
      <c r="M13" s="16">
        <v>5</v>
      </c>
      <c r="N13" s="16">
        <v>0</v>
      </c>
      <c r="O13" s="16">
        <v>2</v>
      </c>
      <c r="P13" s="16">
        <v>0</v>
      </c>
      <c r="Q13" s="16">
        <v>1</v>
      </c>
      <c r="R13" s="16">
        <v>0</v>
      </c>
      <c r="S13" s="17">
        <v>3</v>
      </c>
      <c r="T13" s="14"/>
      <c r="U13" s="16"/>
      <c r="V13" s="16"/>
      <c r="W13" s="16"/>
      <c r="X13" s="16"/>
      <c r="Y13" s="16"/>
      <c r="Z13" s="16"/>
      <c r="AA13" s="17"/>
      <c r="AB13" s="14"/>
      <c r="AC13" s="16"/>
      <c r="AD13" s="16"/>
      <c r="AE13" s="16"/>
      <c r="AF13" s="16"/>
      <c r="AG13" s="16"/>
      <c r="AH13" s="16"/>
      <c r="AI13" s="17"/>
      <c r="AJ13" s="8">
        <f t="shared" si="0"/>
        <v>14</v>
      </c>
      <c r="AK13" s="4">
        <f t="shared" si="1"/>
        <v>8</v>
      </c>
      <c r="AL13" s="4">
        <f t="shared" si="2"/>
        <v>0</v>
      </c>
      <c r="AM13" s="4">
        <f t="shared" si="3"/>
        <v>2</v>
      </c>
      <c r="AN13" s="4">
        <f t="shared" si="4"/>
        <v>3</v>
      </c>
      <c r="AO13" s="4">
        <f t="shared" ref="AO13:AQ13" si="9">+I13+Q13+Y13+AG13</f>
        <v>1</v>
      </c>
      <c r="AP13" s="4">
        <f t="shared" si="9"/>
        <v>3</v>
      </c>
      <c r="AQ13" s="5">
        <f t="shared" si="9"/>
        <v>5</v>
      </c>
    </row>
    <row r="14" spans="2:43" ht="30" customHeight="1">
      <c r="B14" s="14">
        <v>9</v>
      </c>
      <c r="C14" s="15" t="s">
        <v>35</v>
      </c>
      <c r="D14" s="14">
        <v>1</v>
      </c>
      <c r="E14" s="16">
        <v>0</v>
      </c>
      <c r="F14" s="16">
        <v>0</v>
      </c>
      <c r="G14" s="16">
        <v>0</v>
      </c>
      <c r="H14" s="16">
        <v>7</v>
      </c>
      <c r="I14" s="16">
        <v>2</v>
      </c>
      <c r="J14" s="16">
        <v>1</v>
      </c>
      <c r="K14" s="17">
        <v>3</v>
      </c>
      <c r="L14" s="14">
        <v>4</v>
      </c>
      <c r="M14" s="16">
        <v>2</v>
      </c>
      <c r="N14" s="16">
        <v>0</v>
      </c>
      <c r="O14" s="16">
        <v>0</v>
      </c>
      <c r="P14" s="16">
        <v>10</v>
      </c>
      <c r="Q14" s="16">
        <v>0</v>
      </c>
      <c r="R14" s="16">
        <v>0</v>
      </c>
      <c r="S14" s="17">
        <v>1</v>
      </c>
      <c r="T14" s="14"/>
      <c r="U14" s="16"/>
      <c r="V14" s="16"/>
      <c r="W14" s="16"/>
      <c r="X14" s="16"/>
      <c r="Y14" s="16"/>
      <c r="Z14" s="16"/>
      <c r="AA14" s="17"/>
      <c r="AB14" s="14"/>
      <c r="AC14" s="16"/>
      <c r="AD14" s="16"/>
      <c r="AE14" s="16"/>
      <c r="AF14" s="16"/>
      <c r="AG14" s="16"/>
      <c r="AH14" s="16"/>
      <c r="AI14" s="17"/>
      <c r="AJ14" s="8">
        <f t="shared" si="0"/>
        <v>5</v>
      </c>
      <c r="AK14" s="4">
        <f t="shared" si="1"/>
        <v>2</v>
      </c>
      <c r="AL14" s="4">
        <f t="shared" si="2"/>
        <v>0</v>
      </c>
      <c r="AM14" s="4">
        <f t="shared" si="3"/>
        <v>0</v>
      </c>
      <c r="AN14" s="4">
        <f t="shared" si="4"/>
        <v>17</v>
      </c>
      <c r="AO14" s="4">
        <f t="shared" ref="AO14:AQ14" si="10">+I14+Q14+Y14+AG14</f>
        <v>2</v>
      </c>
      <c r="AP14" s="4">
        <f t="shared" si="10"/>
        <v>1</v>
      </c>
      <c r="AQ14" s="5">
        <f t="shared" si="10"/>
        <v>4</v>
      </c>
    </row>
    <row r="15" spans="2:43" ht="30" customHeight="1">
      <c r="B15" s="14">
        <v>10</v>
      </c>
      <c r="C15" s="15" t="s">
        <v>36</v>
      </c>
      <c r="D15" s="14">
        <v>0</v>
      </c>
      <c r="E15" s="16">
        <v>0</v>
      </c>
      <c r="F15" s="16">
        <v>0</v>
      </c>
      <c r="G15" s="16">
        <v>0</v>
      </c>
      <c r="H15" s="16">
        <v>1</v>
      </c>
      <c r="I15" s="16">
        <v>0</v>
      </c>
      <c r="J15" s="16">
        <v>1</v>
      </c>
      <c r="K15" s="17">
        <v>3</v>
      </c>
      <c r="L15" s="14">
        <v>0</v>
      </c>
      <c r="M15" s="16">
        <v>0</v>
      </c>
      <c r="N15" s="16">
        <v>0</v>
      </c>
      <c r="O15" s="16">
        <v>0</v>
      </c>
      <c r="P15" s="16">
        <v>0</v>
      </c>
      <c r="Q15" s="16">
        <v>1</v>
      </c>
      <c r="R15" s="16">
        <v>0</v>
      </c>
      <c r="S15" s="17">
        <v>3</v>
      </c>
      <c r="T15" s="14"/>
      <c r="U15" s="16"/>
      <c r="V15" s="16"/>
      <c r="W15" s="16"/>
      <c r="X15" s="16"/>
      <c r="Y15" s="16"/>
      <c r="Z15" s="16"/>
      <c r="AA15" s="17"/>
      <c r="AB15" s="14"/>
      <c r="AC15" s="16"/>
      <c r="AD15" s="16"/>
      <c r="AE15" s="16"/>
      <c r="AF15" s="16"/>
      <c r="AG15" s="16"/>
      <c r="AH15" s="16"/>
      <c r="AI15" s="17"/>
      <c r="AJ15" s="8">
        <f t="shared" si="0"/>
        <v>0</v>
      </c>
      <c r="AK15" s="4">
        <f t="shared" si="1"/>
        <v>0</v>
      </c>
      <c r="AL15" s="4">
        <f t="shared" si="2"/>
        <v>0</v>
      </c>
      <c r="AM15" s="4">
        <f t="shared" si="3"/>
        <v>0</v>
      </c>
      <c r="AN15" s="4">
        <f t="shared" si="4"/>
        <v>1</v>
      </c>
      <c r="AO15" s="4">
        <f t="shared" ref="AO15:AQ15" si="11">+I15+Q15+Y15+AG15</f>
        <v>1</v>
      </c>
      <c r="AP15" s="4">
        <f t="shared" si="11"/>
        <v>1</v>
      </c>
      <c r="AQ15" s="5">
        <f t="shared" si="11"/>
        <v>6</v>
      </c>
    </row>
    <row r="16" spans="2:43" ht="30" customHeight="1">
      <c r="B16" s="14">
        <v>11</v>
      </c>
      <c r="C16" s="15" t="s">
        <v>37</v>
      </c>
      <c r="D16" s="14">
        <v>9</v>
      </c>
      <c r="E16" s="16">
        <v>6</v>
      </c>
      <c r="F16" s="16">
        <v>0</v>
      </c>
      <c r="G16" s="16">
        <v>1</v>
      </c>
      <c r="H16" s="16">
        <v>1</v>
      </c>
      <c r="I16" s="16">
        <v>0</v>
      </c>
      <c r="J16" s="16">
        <v>0</v>
      </c>
      <c r="K16" s="17">
        <v>4</v>
      </c>
      <c r="L16" s="14">
        <v>7</v>
      </c>
      <c r="M16" s="16">
        <v>5</v>
      </c>
      <c r="N16" s="16">
        <v>0</v>
      </c>
      <c r="O16" s="16">
        <v>2</v>
      </c>
      <c r="P16" s="16">
        <v>0</v>
      </c>
      <c r="Q16" s="16">
        <v>0</v>
      </c>
      <c r="R16" s="16">
        <v>1</v>
      </c>
      <c r="S16" s="17">
        <v>0</v>
      </c>
      <c r="T16" s="14"/>
      <c r="U16" s="16"/>
      <c r="V16" s="16"/>
      <c r="W16" s="16"/>
      <c r="X16" s="16"/>
      <c r="Y16" s="16"/>
      <c r="Z16" s="16"/>
      <c r="AA16" s="17"/>
      <c r="AB16" s="14"/>
      <c r="AC16" s="16"/>
      <c r="AD16" s="16"/>
      <c r="AE16" s="16"/>
      <c r="AF16" s="16"/>
      <c r="AG16" s="16"/>
      <c r="AH16" s="16"/>
      <c r="AI16" s="17"/>
      <c r="AJ16" s="8">
        <f t="shared" si="0"/>
        <v>16</v>
      </c>
      <c r="AK16" s="4">
        <f t="shared" si="1"/>
        <v>11</v>
      </c>
      <c r="AL16" s="4">
        <f t="shared" si="2"/>
        <v>0</v>
      </c>
      <c r="AM16" s="4">
        <f t="shared" si="3"/>
        <v>3</v>
      </c>
      <c r="AN16" s="4">
        <f t="shared" si="4"/>
        <v>1</v>
      </c>
      <c r="AO16" s="4">
        <f t="shared" ref="AO16:AQ16" si="12">+I16+Q16+Y16+AG16</f>
        <v>0</v>
      </c>
      <c r="AP16" s="4">
        <f t="shared" si="12"/>
        <v>1</v>
      </c>
      <c r="AQ16" s="5">
        <f t="shared" si="12"/>
        <v>4</v>
      </c>
    </row>
    <row r="17" spans="2:43" ht="30" customHeight="1">
      <c r="B17" s="14">
        <v>12</v>
      </c>
      <c r="C17" s="15" t="s">
        <v>38</v>
      </c>
      <c r="D17" s="14">
        <v>1</v>
      </c>
      <c r="E17" s="16">
        <v>0</v>
      </c>
      <c r="F17" s="16">
        <v>0</v>
      </c>
      <c r="G17" s="16">
        <v>0</v>
      </c>
      <c r="H17" s="16">
        <v>0</v>
      </c>
      <c r="I17" s="16">
        <v>1</v>
      </c>
      <c r="J17" s="16">
        <v>0</v>
      </c>
      <c r="K17" s="17">
        <v>0</v>
      </c>
      <c r="L17" s="14">
        <v>10</v>
      </c>
      <c r="M17" s="16">
        <v>5</v>
      </c>
      <c r="N17" s="16">
        <v>2</v>
      </c>
      <c r="O17" s="16">
        <v>1</v>
      </c>
      <c r="P17" s="16">
        <v>1</v>
      </c>
      <c r="Q17" s="16">
        <v>0</v>
      </c>
      <c r="R17" s="16">
        <v>1</v>
      </c>
      <c r="S17" s="17">
        <v>1</v>
      </c>
      <c r="T17" s="14"/>
      <c r="U17" s="16"/>
      <c r="V17" s="16"/>
      <c r="W17" s="16"/>
      <c r="X17" s="16"/>
      <c r="Y17" s="16"/>
      <c r="Z17" s="16"/>
      <c r="AA17" s="17"/>
      <c r="AB17" s="14"/>
      <c r="AC17" s="16"/>
      <c r="AD17" s="16"/>
      <c r="AE17" s="16"/>
      <c r="AF17" s="16"/>
      <c r="AG17" s="16"/>
      <c r="AH17" s="16"/>
      <c r="AI17" s="17"/>
      <c r="AJ17" s="8">
        <f t="shared" si="0"/>
        <v>11</v>
      </c>
      <c r="AK17" s="4">
        <f t="shared" si="1"/>
        <v>5</v>
      </c>
      <c r="AL17" s="4">
        <f t="shared" si="2"/>
        <v>2</v>
      </c>
      <c r="AM17" s="4">
        <f t="shared" si="3"/>
        <v>1</v>
      </c>
      <c r="AN17" s="4">
        <f t="shared" si="4"/>
        <v>1</v>
      </c>
      <c r="AO17" s="4">
        <f t="shared" ref="AO17:AQ17" si="13">+I17+Q17+Y17+AG17</f>
        <v>1</v>
      </c>
      <c r="AP17" s="4">
        <f t="shared" si="13"/>
        <v>1</v>
      </c>
      <c r="AQ17" s="5">
        <f t="shared" si="13"/>
        <v>1</v>
      </c>
    </row>
    <row r="18" spans="2:43" ht="30" customHeight="1">
      <c r="B18" s="14">
        <v>14</v>
      </c>
      <c r="C18" s="15" t="s">
        <v>39</v>
      </c>
      <c r="D18" s="14">
        <v>0</v>
      </c>
      <c r="E18" s="16">
        <v>0</v>
      </c>
      <c r="F18" s="16">
        <v>0</v>
      </c>
      <c r="G18" s="16">
        <v>0</v>
      </c>
      <c r="H18" s="16">
        <v>1</v>
      </c>
      <c r="I18" s="16">
        <v>0</v>
      </c>
      <c r="J18" s="16">
        <v>0</v>
      </c>
      <c r="K18" s="17">
        <v>1</v>
      </c>
      <c r="L18" s="14">
        <v>1</v>
      </c>
      <c r="M18" s="16">
        <v>0</v>
      </c>
      <c r="N18" s="16">
        <v>0</v>
      </c>
      <c r="O18" s="16">
        <v>0</v>
      </c>
      <c r="P18" s="16">
        <v>1</v>
      </c>
      <c r="Q18" s="16">
        <v>1</v>
      </c>
      <c r="R18" s="16">
        <v>0</v>
      </c>
      <c r="S18" s="17">
        <v>4</v>
      </c>
      <c r="T18" s="14"/>
      <c r="U18" s="16"/>
      <c r="V18" s="16"/>
      <c r="W18" s="16"/>
      <c r="X18" s="16"/>
      <c r="Y18" s="16"/>
      <c r="Z18" s="16"/>
      <c r="AA18" s="17"/>
      <c r="AB18" s="14"/>
      <c r="AC18" s="16"/>
      <c r="AD18" s="16"/>
      <c r="AE18" s="16"/>
      <c r="AF18" s="16"/>
      <c r="AG18" s="16"/>
      <c r="AH18" s="16"/>
      <c r="AI18" s="17"/>
      <c r="AJ18" s="8">
        <f t="shared" si="0"/>
        <v>1</v>
      </c>
      <c r="AK18" s="4">
        <f t="shared" si="1"/>
        <v>0</v>
      </c>
      <c r="AL18" s="4">
        <f t="shared" si="2"/>
        <v>0</v>
      </c>
      <c r="AM18" s="4">
        <f t="shared" si="3"/>
        <v>0</v>
      </c>
      <c r="AN18" s="4">
        <f t="shared" si="4"/>
        <v>2</v>
      </c>
      <c r="AO18" s="4">
        <f t="shared" ref="AO18:AQ18" si="14">+I18+Q18+Y18+AG18</f>
        <v>1</v>
      </c>
      <c r="AP18" s="4">
        <f t="shared" si="14"/>
        <v>0</v>
      </c>
      <c r="AQ18" s="5">
        <f t="shared" si="14"/>
        <v>5</v>
      </c>
    </row>
    <row r="19" spans="2:43" ht="30" customHeight="1">
      <c r="B19" s="14">
        <v>15</v>
      </c>
      <c r="C19" s="15" t="s">
        <v>40</v>
      </c>
      <c r="D19" s="14">
        <v>4</v>
      </c>
      <c r="E19" s="16">
        <v>1</v>
      </c>
      <c r="F19" s="16">
        <v>0</v>
      </c>
      <c r="G19" s="16">
        <v>1</v>
      </c>
      <c r="H19" s="16">
        <v>0</v>
      </c>
      <c r="I19" s="16">
        <v>0</v>
      </c>
      <c r="J19" s="16">
        <v>1</v>
      </c>
      <c r="K19" s="17">
        <v>2</v>
      </c>
      <c r="L19" s="14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7">
        <v>0</v>
      </c>
      <c r="T19" s="14"/>
      <c r="U19" s="16"/>
      <c r="V19" s="16"/>
      <c r="W19" s="16"/>
      <c r="X19" s="16"/>
      <c r="Y19" s="16"/>
      <c r="Z19" s="16"/>
      <c r="AA19" s="17"/>
      <c r="AB19" s="14"/>
      <c r="AC19" s="16"/>
      <c r="AD19" s="16"/>
      <c r="AE19" s="16"/>
      <c r="AF19" s="16"/>
      <c r="AG19" s="16"/>
      <c r="AH19" s="16"/>
      <c r="AI19" s="17"/>
      <c r="AJ19" s="8">
        <f t="shared" si="0"/>
        <v>4</v>
      </c>
      <c r="AK19" s="4">
        <f t="shared" si="1"/>
        <v>1</v>
      </c>
      <c r="AL19" s="4">
        <f t="shared" si="2"/>
        <v>0</v>
      </c>
      <c r="AM19" s="4">
        <f t="shared" si="3"/>
        <v>1</v>
      </c>
      <c r="AN19" s="4">
        <f t="shared" si="4"/>
        <v>0</v>
      </c>
      <c r="AO19" s="4">
        <f t="shared" ref="AO19:AQ19" si="15">+I19+Q19+Y19+AG19</f>
        <v>0</v>
      </c>
      <c r="AP19" s="4">
        <f t="shared" si="15"/>
        <v>1</v>
      </c>
      <c r="AQ19" s="5">
        <f t="shared" si="15"/>
        <v>2</v>
      </c>
    </row>
    <row r="20" spans="2:43" ht="30" customHeight="1">
      <c r="B20" s="18"/>
      <c r="C20" s="19"/>
      <c r="D20" s="18"/>
      <c r="E20" s="20"/>
      <c r="F20" s="20"/>
      <c r="G20" s="20"/>
      <c r="H20" s="20"/>
      <c r="I20" s="20"/>
      <c r="J20" s="20"/>
      <c r="K20" s="21"/>
      <c r="L20" s="18"/>
      <c r="M20" s="20"/>
      <c r="N20" s="20"/>
      <c r="O20" s="20"/>
      <c r="P20" s="20"/>
      <c r="Q20" s="20"/>
      <c r="R20" s="20"/>
      <c r="S20" s="21"/>
      <c r="T20" s="18"/>
      <c r="U20" s="20"/>
      <c r="V20" s="20"/>
      <c r="W20" s="20"/>
      <c r="X20" s="20"/>
      <c r="Y20" s="20"/>
      <c r="Z20" s="20"/>
      <c r="AA20" s="21"/>
      <c r="AB20" s="18"/>
      <c r="AC20" s="20"/>
      <c r="AD20" s="20"/>
      <c r="AE20" s="20"/>
      <c r="AF20" s="20"/>
      <c r="AG20" s="20"/>
      <c r="AH20" s="20"/>
      <c r="AI20" s="21"/>
      <c r="AJ20" s="9">
        <f t="shared" si="0"/>
        <v>0</v>
      </c>
      <c r="AK20" s="10">
        <f t="shared" si="1"/>
        <v>0</v>
      </c>
      <c r="AL20" s="10">
        <f t="shared" si="2"/>
        <v>0</v>
      </c>
      <c r="AM20" s="10">
        <f t="shared" si="3"/>
        <v>0</v>
      </c>
      <c r="AN20" s="10">
        <f t="shared" si="4"/>
        <v>0</v>
      </c>
      <c r="AO20" s="10">
        <f t="shared" ref="AO20:AQ20" si="16">+I20+Q20+Y20+AG20</f>
        <v>0</v>
      </c>
      <c r="AP20" s="10">
        <f t="shared" si="16"/>
        <v>0</v>
      </c>
      <c r="AQ20" s="11">
        <f t="shared" si="16"/>
        <v>0</v>
      </c>
    </row>
    <row r="21" spans="2:43" ht="7.5" customHeight="1" thickBot="1"/>
    <row r="22" spans="2:43" ht="30" customHeight="1" thickBot="1">
      <c r="B22" s="41" t="s">
        <v>13</v>
      </c>
      <c r="C22" s="42"/>
      <c r="D22" s="22">
        <f>SUM(D9:D20)</f>
        <v>36</v>
      </c>
      <c r="E22" s="23">
        <f t="shared" ref="E22:AQ22" si="17">SUM(E9:E20)</f>
        <v>16</v>
      </c>
      <c r="F22" s="23">
        <f t="shared" si="17"/>
        <v>0</v>
      </c>
      <c r="G22" s="23">
        <f t="shared" si="17"/>
        <v>4</v>
      </c>
      <c r="H22" s="23">
        <f t="shared" si="17"/>
        <v>14</v>
      </c>
      <c r="I22" s="23">
        <f t="shared" si="17"/>
        <v>4</v>
      </c>
      <c r="J22" s="23">
        <f t="shared" si="17"/>
        <v>10</v>
      </c>
      <c r="K22" s="24">
        <f t="shared" si="17"/>
        <v>18</v>
      </c>
      <c r="L22" s="25">
        <f t="shared" si="17"/>
        <v>44</v>
      </c>
      <c r="M22" s="26">
        <f t="shared" si="17"/>
        <v>23</v>
      </c>
      <c r="N22" s="26">
        <f t="shared" si="17"/>
        <v>2</v>
      </c>
      <c r="O22" s="26">
        <f t="shared" si="17"/>
        <v>9</v>
      </c>
      <c r="P22" s="26">
        <f t="shared" si="17"/>
        <v>16</v>
      </c>
      <c r="Q22" s="26">
        <f t="shared" si="17"/>
        <v>5</v>
      </c>
      <c r="R22" s="26">
        <f t="shared" si="17"/>
        <v>8</v>
      </c>
      <c r="S22" s="27">
        <f t="shared" si="17"/>
        <v>26</v>
      </c>
      <c r="T22" s="22">
        <f t="shared" si="17"/>
        <v>0</v>
      </c>
      <c r="U22" s="23">
        <f t="shared" si="17"/>
        <v>0</v>
      </c>
      <c r="V22" s="23">
        <f t="shared" si="17"/>
        <v>0</v>
      </c>
      <c r="W22" s="23">
        <f t="shared" si="17"/>
        <v>0</v>
      </c>
      <c r="X22" s="23">
        <f t="shared" si="17"/>
        <v>0</v>
      </c>
      <c r="Y22" s="23">
        <f t="shared" si="17"/>
        <v>0</v>
      </c>
      <c r="Z22" s="23">
        <f t="shared" si="17"/>
        <v>0</v>
      </c>
      <c r="AA22" s="24">
        <f t="shared" si="17"/>
        <v>0</v>
      </c>
      <c r="AB22" s="25">
        <f t="shared" si="17"/>
        <v>0</v>
      </c>
      <c r="AC22" s="26">
        <f t="shared" si="17"/>
        <v>0</v>
      </c>
      <c r="AD22" s="26">
        <f t="shared" si="17"/>
        <v>0</v>
      </c>
      <c r="AE22" s="26">
        <f t="shared" si="17"/>
        <v>0</v>
      </c>
      <c r="AF22" s="26">
        <f t="shared" si="17"/>
        <v>0</v>
      </c>
      <c r="AG22" s="26">
        <f t="shared" si="17"/>
        <v>0</v>
      </c>
      <c r="AH22" s="26">
        <f t="shared" si="17"/>
        <v>0</v>
      </c>
      <c r="AI22" s="27">
        <f t="shared" si="17"/>
        <v>0</v>
      </c>
      <c r="AJ22" s="22">
        <f t="shared" si="17"/>
        <v>80</v>
      </c>
      <c r="AK22" s="23">
        <f t="shared" si="17"/>
        <v>39</v>
      </c>
      <c r="AL22" s="23">
        <f t="shared" si="17"/>
        <v>2</v>
      </c>
      <c r="AM22" s="23">
        <f t="shared" si="17"/>
        <v>13</v>
      </c>
      <c r="AN22" s="23">
        <f t="shared" si="17"/>
        <v>30</v>
      </c>
      <c r="AO22" s="23">
        <f t="shared" si="17"/>
        <v>9</v>
      </c>
      <c r="AP22" s="23">
        <f t="shared" si="17"/>
        <v>18</v>
      </c>
      <c r="AQ22" s="24">
        <f t="shared" si="17"/>
        <v>44</v>
      </c>
    </row>
    <row r="23" spans="2:43" ht="7.5" customHeight="1"/>
    <row r="24" spans="2:43">
      <c r="B24" s="6" t="s">
        <v>41</v>
      </c>
    </row>
  </sheetData>
  <sheetProtection algorithmName="SHA-512" hashValue="p7fIers6SmxwsqcoKSTKbxIZVsjjPqhJdelkBqeNyURgPQc6ig8kxuK3t6qGnZJ95xkPVj+bbX5d0IIUwpg/oQ==" saltValue="d53BfToyjZydW7HXtZ3KGA==" spinCount="100000" sheet="1" objects="1" scenarios="1"/>
  <mergeCells count="45">
    <mergeCell ref="T7:T8"/>
    <mergeCell ref="U7:V7"/>
    <mergeCell ref="W7:X7"/>
    <mergeCell ref="B7:B8"/>
    <mergeCell ref="C7:C8"/>
    <mergeCell ref="D7:D8"/>
    <mergeCell ref="E7:F7"/>
    <mergeCell ref="G7:H7"/>
    <mergeCell ref="AE7:AF7"/>
    <mergeCell ref="AJ7:AJ8"/>
    <mergeCell ref="AK7:AL7"/>
    <mergeCell ref="AM7:AN7"/>
    <mergeCell ref="AG7:AG8"/>
    <mergeCell ref="AH7:AH8"/>
    <mergeCell ref="AQ7:AQ8"/>
    <mergeCell ref="L6:S6"/>
    <mergeCell ref="T6:AA6"/>
    <mergeCell ref="AB6:AI6"/>
    <mergeCell ref="AJ6:AQ6"/>
    <mergeCell ref="AO7:AO8"/>
    <mergeCell ref="AP7:AP8"/>
    <mergeCell ref="R7:R8"/>
    <mergeCell ref="AA7:AA8"/>
    <mergeCell ref="AI7:AI8"/>
    <mergeCell ref="Q7:Q8"/>
    <mergeCell ref="S7:S8"/>
    <mergeCell ref="Y7:Y8"/>
    <mergeCell ref="Z7:Z8"/>
    <mergeCell ref="AB7:AB8"/>
    <mergeCell ref="AC7:AD7"/>
    <mergeCell ref="Q2:S2"/>
    <mergeCell ref="B22:C22"/>
    <mergeCell ref="C2:E2"/>
    <mergeCell ref="C4:E4"/>
    <mergeCell ref="G2:H2"/>
    <mergeCell ref="I2:N2"/>
    <mergeCell ref="G4:H4"/>
    <mergeCell ref="I4:N4"/>
    <mergeCell ref="J7:J8"/>
    <mergeCell ref="D6:K6"/>
    <mergeCell ref="I7:I8"/>
    <mergeCell ref="K7:K8"/>
    <mergeCell ref="L7:L8"/>
    <mergeCell ref="M7:N7"/>
    <mergeCell ref="O7:P7"/>
  </mergeCells>
  <dataValidations count="3">
    <dataValidation type="whole" allowBlank="1" showInputMessage="1" showErrorMessage="1" sqref="B9:B20" xr:uid="{A42240DA-97DC-4F2B-B6B5-97DEE74B9762}">
      <formula1>1</formula1>
      <formula2>15</formula2>
    </dataValidation>
    <dataValidation type="whole" allowBlank="1" showInputMessage="1" showErrorMessage="1" sqref="D9:J20 L9:R20 T9:Z20 AB9:AH20" xr:uid="{E605F1F2-0E58-4899-9BCC-565283DA5442}">
      <formula1>0</formula1>
      <formula2>250</formula2>
    </dataValidation>
    <dataValidation type="whole" allowBlank="1" showInputMessage="1" showErrorMessage="1" sqref="K9:K20 S9:S20 AA9:AA20 AI9:AI20" xr:uid="{9AD20E1A-DC3C-48A1-A26A-FA4F57440E55}">
      <formula1>0</formula1>
      <formula2>6</formula2>
    </dataValidation>
  </dataValidations>
  <pageMargins left="0.25" right="0.25" top="0.75" bottom="0.75" header="0.3" footer="0.3"/>
  <pageSetup paperSize="9" scale="46" orientation="landscape" horizontalDpi="0" verticalDpi="0" r:id="rId1"/>
  <headerFooter>
    <oddFooter>&amp;L_x000D_&amp;1#&amp;"Aptos"&amp;7&amp;K000000 ***Este documento está clasificado como USO INTERNO por MOVISTAR. ***This document is classified as INTERNAL USE by MOVISTAR.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E3B2E36-24BA-47E8-B67A-735B36B87A73}">
          <x14:formula1>
            <xm:f>Aux!$A$1:$A$2</xm:f>
          </x14:formula1>
          <xm:sqref>I4:N4</xm:sqref>
        </x14:dataValidation>
        <x14:dataValidation type="list" allowBlank="1" showInputMessage="1" showErrorMessage="1" xr:uid="{C4068225-E1FE-4086-89D7-AAE2DFB2952E}">
          <x14:formula1>
            <xm:f>Aux!$C$1:$C$13</xm:f>
          </x14:formula1>
          <xm:sqref>C2:E2 C4:E4</xm:sqref>
        </x14:dataValidation>
        <x14:dataValidation type="list" allowBlank="1" showInputMessage="1" showErrorMessage="1" xr:uid="{268E0B97-BCCB-4A83-BB80-D4C69164F45C}">
          <x14:formula1>
            <xm:f>Aux!$E$1:$E$14</xm:f>
          </x14:formula1>
          <xm:sqref>I2:N2</xm:sqref>
        </x14:dataValidation>
        <x14:dataValidation type="date" operator="greaterThan" allowBlank="1" showInputMessage="1" showErrorMessage="1" xr:uid="{3B501145-B259-4A91-9C40-FDA3B02815A6}">
          <x14:formula1>
            <xm:f>Aux!$G$1</xm:f>
          </x14:formula1>
          <xm:sqref>Q2:S2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8724F-71A9-482D-BEEE-EC04E8E7B68D}">
  <dimension ref="A1:P49"/>
  <sheetViews>
    <sheetView workbookViewId="0"/>
  </sheetViews>
  <sheetFormatPr defaultColWidth="11.42578125" defaultRowHeight="14.45"/>
  <cols>
    <col min="2" max="2" width="13" bestFit="1" customWidth="1"/>
    <col min="3" max="3" width="11.42578125" style="12"/>
    <col min="6" max="6" width="24.42578125" bestFit="1" customWidth="1"/>
    <col min="8" max="8" width="15.42578125" bestFit="1" customWidth="1"/>
  </cols>
  <sheetData>
    <row r="1" spans="1:16">
      <c r="A1" t="s">
        <v>42</v>
      </c>
      <c r="B1" t="s">
        <v>43</v>
      </c>
      <c r="C1" s="12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16</v>
      </c>
      <c r="J1" t="s">
        <v>24</v>
      </c>
      <c r="K1" t="s">
        <v>25</v>
      </c>
      <c r="L1" t="s">
        <v>26</v>
      </c>
      <c r="M1" t="s">
        <v>27</v>
      </c>
      <c r="N1" t="s">
        <v>19</v>
      </c>
      <c r="O1" t="s">
        <v>20</v>
      </c>
      <c r="P1" t="s">
        <v>21</v>
      </c>
    </row>
    <row r="2" spans="1:16">
      <c r="A2" t="str">
        <f>+'Reporte a FCCF'!$I$4</f>
        <v>Primera A</v>
      </c>
      <c r="B2" t="str">
        <f>+'Reporte a FCCF'!$I$2</f>
        <v>Apertura 2026</v>
      </c>
      <c r="C2" s="12">
        <f>+'Reporte a FCCF'!$Q$2</f>
        <v>0</v>
      </c>
      <c r="D2" t="str">
        <f>+'Reporte a FCCF'!$C$2</f>
        <v>Vélez</v>
      </c>
      <c r="E2" t="str">
        <f>+'Reporte a FCCF'!$C$4</f>
        <v>Avellaneda</v>
      </c>
      <c r="F2" t="s">
        <v>9</v>
      </c>
      <c r="G2">
        <f>+'Reporte a FCCF'!$B$9</f>
        <v>1</v>
      </c>
      <c r="H2" t="str">
        <f>+'Reporte a FCCF'!$C$9</f>
        <v>LUCIA COSTA</v>
      </c>
      <c r="I2">
        <f>+'Reporte a FCCF'!D9</f>
        <v>4</v>
      </c>
      <c r="J2">
        <f>+'Reporte a FCCF'!E9</f>
        <v>1</v>
      </c>
      <c r="K2">
        <f>+'Reporte a FCCF'!F9</f>
        <v>0</v>
      </c>
      <c r="L2">
        <f>+'Reporte a FCCF'!G9</f>
        <v>2</v>
      </c>
      <c r="M2">
        <f>+'Reporte a FCCF'!H9</f>
        <v>1</v>
      </c>
      <c r="N2">
        <f>+'Reporte a FCCF'!I9</f>
        <v>0</v>
      </c>
      <c r="O2">
        <f>+'Reporte a FCCF'!J9</f>
        <v>2</v>
      </c>
      <c r="P2">
        <f>+'Reporte a FCCF'!K9</f>
        <v>1</v>
      </c>
    </row>
    <row r="3" spans="1:16">
      <c r="A3" t="str">
        <f>+'Reporte a FCCF'!$I$4</f>
        <v>Primera A</v>
      </c>
      <c r="B3" t="str">
        <f>+'Reporte a FCCF'!$I$2</f>
        <v>Apertura 2026</v>
      </c>
      <c r="C3" s="12">
        <f>+'Reporte a FCCF'!$Q$2</f>
        <v>0</v>
      </c>
      <c r="D3" t="str">
        <f>+'Reporte a FCCF'!$C$2</f>
        <v>Vélez</v>
      </c>
      <c r="E3" t="str">
        <f>+'Reporte a FCCF'!$C$4</f>
        <v>Avellaneda</v>
      </c>
      <c r="F3" t="s">
        <v>9</v>
      </c>
      <c r="G3">
        <f>+'Reporte a FCCF'!$B$10</f>
        <v>5</v>
      </c>
      <c r="H3" t="str">
        <f>+'Reporte a FCCF'!$C$10</f>
        <v>MARIELA ELIAS</v>
      </c>
      <c r="I3">
        <f>+'Reporte a FCCF'!D10</f>
        <v>0</v>
      </c>
      <c r="J3">
        <f>+'Reporte a FCCF'!E10</f>
        <v>0</v>
      </c>
      <c r="K3">
        <f>+'Reporte a FCCF'!F10</f>
        <v>0</v>
      </c>
      <c r="L3">
        <f>+'Reporte a FCCF'!G10</f>
        <v>0</v>
      </c>
      <c r="M3">
        <f>+'Reporte a FCCF'!H10</f>
        <v>0</v>
      </c>
      <c r="N3">
        <f>+'Reporte a FCCF'!I10</f>
        <v>0</v>
      </c>
      <c r="O3">
        <f>+'Reporte a FCCF'!J10</f>
        <v>0</v>
      </c>
      <c r="P3">
        <f>+'Reporte a FCCF'!K10</f>
        <v>0</v>
      </c>
    </row>
    <row r="4" spans="1:16">
      <c r="A4" t="str">
        <f>+'Reporte a FCCF'!$I$4</f>
        <v>Primera A</v>
      </c>
      <c r="B4" t="str">
        <f>+'Reporte a FCCF'!$I$2</f>
        <v>Apertura 2026</v>
      </c>
      <c r="C4" s="12">
        <f>+'Reporte a FCCF'!$Q$2</f>
        <v>0</v>
      </c>
      <c r="D4" t="str">
        <f>+'Reporte a FCCF'!$C$2</f>
        <v>Vélez</v>
      </c>
      <c r="E4" t="str">
        <f>+'Reporte a FCCF'!$C$4</f>
        <v>Avellaneda</v>
      </c>
      <c r="F4" t="s">
        <v>9</v>
      </c>
      <c r="G4">
        <f>+'Reporte a FCCF'!$B$11</f>
        <v>6</v>
      </c>
      <c r="H4" t="str">
        <f>+'Reporte a FCCF'!$C$11</f>
        <v>MALENA ZUCCARINO</v>
      </c>
      <c r="I4">
        <f>+'Reporte a FCCF'!D11</f>
        <v>0</v>
      </c>
      <c r="J4">
        <f>+'Reporte a FCCF'!E11</f>
        <v>0</v>
      </c>
      <c r="K4">
        <f>+'Reporte a FCCF'!F11</f>
        <v>0</v>
      </c>
      <c r="L4">
        <f>+'Reporte a FCCF'!G11</f>
        <v>0</v>
      </c>
      <c r="M4">
        <f>+'Reporte a FCCF'!H11</f>
        <v>0</v>
      </c>
      <c r="N4">
        <f>+'Reporte a FCCF'!I11</f>
        <v>0</v>
      </c>
      <c r="O4">
        <f>+'Reporte a FCCF'!J11</f>
        <v>0</v>
      </c>
      <c r="P4">
        <f>+'Reporte a FCCF'!K11</f>
        <v>0</v>
      </c>
    </row>
    <row r="5" spans="1:16">
      <c r="A5" t="str">
        <f>+'Reporte a FCCF'!$I$4</f>
        <v>Primera A</v>
      </c>
      <c r="B5" t="str">
        <f>+'Reporte a FCCF'!$I$2</f>
        <v>Apertura 2026</v>
      </c>
      <c r="C5" s="12">
        <f>+'Reporte a FCCF'!$Q$2</f>
        <v>0</v>
      </c>
      <c r="D5" t="str">
        <f>+'Reporte a FCCF'!$C$2</f>
        <v>Vélez</v>
      </c>
      <c r="E5" t="str">
        <f>+'Reporte a FCCF'!$C$4</f>
        <v>Avellaneda</v>
      </c>
      <c r="F5" t="s">
        <v>9</v>
      </c>
      <c r="G5">
        <f>+'Reporte a FCCF'!$B$12</f>
        <v>7</v>
      </c>
      <c r="H5" t="str">
        <f>+'Reporte a FCCF'!$C$12</f>
        <v>JIMENA GARCIA</v>
      </c>
      <c r="I5">
        <f>+'Reporte a FCCF'!D12</f>
        <v>11</v>
      </c>
      <c r="J5">
        <f>+'Reporte a FCCF'!E12</f>
        <v>5</v>
      </c>
      <c r="K5">
        <f>+'Reporte a FCCF'!F12</f>
        <v>0</v>
      </c>
      <c r="L5">
        <f>+'Reporte a FCCF'!G12</f>
        <v>0</v>
      </c>
      <c r="M5">
        <f>+'Reporte a FCCF'!H12</f>
        <v>0</v>
      </c>
      <c r="N5">
        <f>+'Reporte a FCCF'!I12</f>
        <v>1</v>
      </c>
      <c r="O5">
        <f>+'Reporte a FCCF'!J12</f>
        <v>2</v>
      </c>
      <c r="P5">
        <f>+'Reporte a FCCF'!K12</f>
        <v>2</v>
      </c>
    </row>
    <row r="6" spans="1:16">
      <c r="A6" t="str">
        <f>+'Reporte a FCCF'!$I$4</f>
        <v>Primera A</v>
      </c>
      <c r="B6" t="str">
        <f>+'Reporte a FCCF'!$I$2</f>
        <v>Apertura 2026</v>
      </c>
      <c r="C6" s="12">
        <f>+'Reporte a FCCF'!$Q$2</f>
        <v>0</v>
      </c>
      <c r="D6" t="str">
        <f>+'Reporte a FCCF'!$C$2</f>
        <v>Vélez</v>
      </c>
      <c r="E6" t="str">
        <f>+'Reporte a FCCF'!$C$4</f>
        <v>Avellaneda</v>
      </c>
      <c r="F6" t="s">
        <v>9</v>
      </c>
      <c r="G6">
        <f>+'Reporte a FCCF'!$B$13</f>
        <v>8</v>
      </c>
      <c r="H6" t="str">
        <f>+'Reporte a FCCF'!$C$13</f>
        <v>SOFIA NAÓN</v>
      </c>
      <c r="I6">
        <f>+'Reporte a FCCF'!D13</f>
        <v>6</v>
      </c>
      <c r="J6">
        <f>+'Reporte a FCCF'!E13</f>
        <v>3</v>
      </c>
      <c r="K6">
        <f>+'Reporte a FCCF'!F13</f>
        <v>0</v>
      </c>
      <c r="L6">
        <f>+'Reporte a FCCF'!G13</f>
        <v>0</v>
      </c>
      <c r="M6">
        <f>+'Reporte a FCCF'!H13</f>
        <v>3</v>
      </c>
      <c r="N6">
        <f>+'Reporte a FCCF'!I13</f>
        <v>0</v>
      </c>
      <c r="O6">
        <f>+'Reporte a FCCF'!J13</f>
        <v>3</v>
      </c>
      <c r="P6">
        <f>+'Reporte a FCCF'!K13</f>
        <v>2</v>
      </c>
    </row>
    <row r="7" spans="1:16">
      <c r="A7" t="str">
        <f>+'Reporte a FCCF'!$I$4</f>
        <v>Primera A</v>
      </c>
      <c r="B7" t="str">
        <f>+'Reporte a FCCF'!$I$2</f>
        <v>Apertura 2026</v>
      </c>
      <c r="C7" s="12">
        <f>+'Reporte a FCCF'!$Q$2</f>
        <v>0</v>
      </c>
      <c r="D7" t="str">
        <f>+'Reporte a FCCF'!$C$2</f>
        <v>Vélez</v>
      </c>
      <c r="E7" t="str">
        <f>+'Reporte a FCCF'!$C$4</f>
        <v>Avellaneda</v>
      </c>
      <c r="F7" t="s">
        <v>9</v>
      </c>
      <c r="G7">
        <f>+'Reporte a FCCF'!$B$14</f>
        <v>9</v>
      </c>
      <c r="H7" t="str">
        <f>+'Reporte a FCCF'!$C$14</f>
        <v>VICTORIA FONTAN</v>
      </c>
      <c r="I7">
        <f>+'Reporte a FCCF'!D14</f>
        <v>1</v>
      </c>
      <c r="J7">
        <f>+'Reporte a FCCF'!E14</f>
        <v>0</v>
      </c>
      <c r="K7">
        <f>+'Reporte a FCCF'!F14</f>
        <v>0</v>
      </c>
      <c r="L7">
        <f>+'Reporte a FCCF'!G14</f>
        <v>0</v>
      </c>
      <c r="M7">
        <f>+'Reporte a FCCF'!H14</f>
        <v>7</v>
      </c>
      <c r="N7">
        <f>+'Reporte a FCCF'!I14</f>
        <v>2</v>
      </c>
      <c r="O7">
        <f>+'Reporte a FCCF'!J14</f>
        <v>1</v>
      </c>
      <c r="P7">
        <f>+'Reporte a FCCF'!K14</f>
        <v>3</v>
      </c>
    </row>
    <row r="8" spans="1:16">
      <c r="A8" t="str">
        <f>+'Reporte a FCCF'!$I$4</f>
        <v>Primera A</v>
      </c>
      <c r="B8" t="str">
        <f>+'Reporte a FCCF'!$I$2</f>
        <v>Apertura 2026</v>
      </c>
      <c r="C8" s="12">
        <f>+'Reporte a FCCF'!$Q$2</f>
        <v>0</v>
      </c>
      <c r="D8" t="str">
        <f>+'Reporte a FCCF'!$C$2</f>
        <v>Vélez</v>
      </c>
      <c r="E8" t="str">
        <f>+'Reporte a FCCF'!$C$4</f>
        <v>Avellaneda</v>
      </c>
      <c r="F8" t="s">
        <v>9</v>
      </c>
      <c r="G8">
        <f>+'Reporte a FCCF'!$B$15</f>
        <v>10</v>
      </c>
      <c r="H8" t="str">
        <f>+'Reporte a FCCF'!$C$15</f>
        <v>ZAHIRA HERRERA</v>
      </c>
      <c r="I8">
        <f>+'Reporte a FCCF'!D15</f>
        <v>0</v>
      </c>
      <c r="J8">
        <f>+'Reporte a FCCF'!E15</f>
        <v>0</v>
      </c>
      <c r="K8">
        <f>+'Reporte a FCCF'!F15</f>
        <v>0</v>
      </c>
      <c r="L8">
        <f>+'Reporte a FCCF'!G15</f>
        <v>0</v>
      </c>
      <c r="M8">
        <f>+'Reporte a FCCF'!H15</f>
        <v>1</v>
      </c>
      <c r="N8">
        <f>+'Reporte a FCCF'!I15</f>
        <v>0</v>
      </c>
      <c r="O8">
        <f>+'Reporte a FCCF'!J15</f>
        <v>1</v>
      </c>
      <c r="P8">
        <f>+'Reporte a FCCF'!K15</f>
        <v>3</v>
      </c>
    </row>
    <row r="9" spans="1:16">
      <c r="A9" t="str">
        <f>+'Reporte a FCCF'!$I$4</f>
        <v>Primera A</v>
      </c>
      <c r="B9" t="str">
        <f>+'Reporte a FCCF'!$I$2</f>
        <v>Apertura 2026</v>
      </c>
      <c r="C9" s="12">
        <f>+'Reporte a FCCF'!$Q$2</f>
        <v>0</v>
      </c>
      <c r="D9" t="str">
        <f>+'Reporte a FCCF'!$C$2</f>
        <v>Vélez</v>
      </c>
      <c r="E9" t="str">
        <f>+'Reporte a FCCF'!$C$4</f>
        <v>Avellaneda</v>
      </c>
      <c r="F9" t="s">
        <v>9</v>
      </c>
      <c r="G9">
        <f>+'Reporte a FCCF'!$B$16</f>
        <v>11</v>
      </c>
      <c r="H9" t="str">
        <f>+'Reporte a FCCF'!$C$16</f>
        <v>LUCILA GRANATELLI</v>
      </c>
      <c r="I9">
        <f>+'Reporte a FCCF'!D16</f>
        <v>9</v>
      </c>
      <c r="J9">
        <f>+'Reporte a FCCF'!E16</f>
        <v>6</v>
      </c>
      <c r="K9">
        <f>+'Reporte a FCCF'!F16</f>
        <v>0</v>
      </c>
      <c r="L9">
        <f>+'Reporte a FCCF'!G16</f>
        <v>1</v>
      </c>
      <c r="M9">
        <f>+'Reporte a FCCF'!H16</f>
        <v>1</v>
      </c>
      <c r="N9">
        <f>+'Reporte a FCCF'!I16</f>
        <v>0</v>
      </c>
      <c r="O9">
        <f>+'Reporte a FCCF'!J16</f>
        <v>0</v>
      </c>
      <c r="P9">
        <f>+'Reporte a FCCF'!K16</f>
        <v>4</v>
      </c>
    </row>
    <row r="10" spans="1:16">
      <c r="A10" t="str">
        <f>+'Reporte a FCCF'!$I$4</f>
        <v>Primera A</v>
      </c>
      <c r="B10" t="str">
        <f>+'Reporte a FCCF'!$I$2</f>
        <v>Apertura 2026</v>
      </c>
      <c r="C10" s="12">
        <f>+'Reporte a FCCF'!$Q$2</f>
        <v>0</v>
      </c>
      <c r="D10" t="str">
        <f>+'Reporte a FCCF'!$C$2</f>
        <v>Vélez</v>
      </c>
      <c r="E10" t="str">
        <f>+'Reporte a FCCF'!$C$4</f>
        <v>Avellaneda</v>
      </c>
      <c r="F10" t="s">
        <v>9</v>
      </c>
      <c r="G10">
        <f>+'Reporte a FCCF'!$B$17</f>
        <v>12</v>
      </c>
      <c r="H10" t="str">
        <f>+'Reporte a FCCF'!$C$17</f>
        <v>MARIA PAZ GOMEZ</v>
      </c>
      <c r="I10">
        <f>+'Reporte a FCCF'!D17</f>
        <v>1</v>
      </c>
      <c r="J10">
        <f>+'Reporte a FCCF'!E17</f>
        <v>0</v>
      </c>
      <c r="K10">
        <f>+'Reporte a FCCF'!F17</f>
        <v>0</v>
      </c>
      <c r="L10">
        <f>+'Reporte a FCCF'!G17</f>
        <v>0</v>
      </c>
      <c r="M10">
        <f>+'Reporte a FCCF'!H17</f>
        <v>0</v>
      </c>
      <c r="N10">
        <f>+'Reporte a FCCF'!I17</f>
        <v>1</v>
      </c>
      <c r="O10">
        <f>+'Reporte a FCCF'!J17</f>
        <v>0</v>
      </c>
      <c r="P10">
        <f>+'Reporte a FCCF'!K17</f>
        <v>0</v>
      </c>
    </row>
    <row r="11" spans="1:16">
      <c r="A11" t="str">
        <f>+'Reporte a FCCF'!$I$4</f>
        <v>Primera A</v>
      </c>
      <c r="B11" t="str">
        <f>+'Reporte a FCCF'!$I$2</f>
        <v>Apertura 2026</v>
      </c>
      <c r="C11" s="12">
        <f>+'Reporte a FCCF'!$Q$2</f>
        <v>0</v>
      </c>
      <c r="D11" t="str">
        <f>+'Reporte a FCCF'!$C$2</f>
        <v>Vélez</v>
      </c>
      <c r="E11" t="str">
        <f>+'Reporte a FCCF'!$C$4</f>
        <v>Avellaneda</v>
      </c>
      <c r="F11" t="s">
        <v>9</v>
      </c>
      <c r="G11">
        <f>+'Reporte a FCCF'!$B$18</f>
        <v>14</v>
      </c>
      <c r="H11" t="str">
        <f>+'Reporte a FCCF'!$C$18</f>
        <v>LUCIANA BRINGAS</v>
      </c>
      <c r="I11">
        <f>+'Reporte a FCCF'!D18</f>
        <v>0</v>
      </c>
      <c r="J11">
        <f>+'Reporte a FCCF'!E18</f>
        <v>0</v>
      </c>
      <c r="K11">
        <f>+'Reporte a FCCF'!F18</f>
        <v>0</v>
      </c>
      <c r="L11">
        <f>+'Reporte a FCCF'!G18</f>
        <v>0</v>
      </c>
      <c r="M11">
        <f>+'Reporte a FCCF'!H18</f>
        <v>1</v>
      </c>
      <c r="N11">
        <f>+'Reporte a FCCF'!I18</f>
        <v>0</v>
      </c>
      <c r="O11">
        <f>+'Reporte a FCCF'!J18</f>
        <v>0</v>
      </c>
      <c r="P11">
        <f>+'Reporte a FCCF'!K18</f>
        <v>1</v>
      </c>
    </row>
    <row r="12" spans="1:16">
      <c r="A12" t="str">
        <f>+'Reporte a FCCF'!$I$4</f>
        <v>Primera A</v>
      </c>
      <c r="B12" t="str">
        <f>+'Reporte a FCCF'!$I$2</f>
        <v>Apertura 2026</v>
      </c>
      <c r="C12" s="12">
        <f>+'Reporte a FCCF'!$Q$2</f>
        <v>0</v>
      </c>
      <c r="D12" t="str">
        <f>+'Reporte a FCCF'!$C$2</f>
        <v>Vélez</v>
      </c>
      <c r="E12" t="str">
        <f>+'Reporte a FCCF'!$C$4</f>
        <v>Avellaneda</v>
      </c>
      <c r="F12" t="s">
        <v>9</v>
      </c>
      <c r="G12">
        <f>+'Reporte a FCCF'!$B$19</f>
        <v>15</v>
      </c>
      <c r="H12" t="str">
        <f>+'Reporte a FCCF'!$C$19</f>
        <v>CANDELA THIM</v>
      </c>
      <c r="I12">
        <f>+'Reporte a FCCF'!D19</f>
        <v>4</v>
      </c>
      <c r="J12">
        <f>+'Reporte a FCCF'!E19</f>
        <v>1</v>
      </c>
      <c r="K12">
        <f>+'Reporte a FCCF'!F19</f>
        <v>0</v>
      </c>
      <c r="L12">
        <f>+'Reporte a FCCF'!G19</f>
        <v>1</v>
      </c>
      <c r="M12">
        <f>+'Reporte a FCCF'!H19</f>
        <v>0</v>
      </c>
      <c r="N12">
        <f>+'Reporte a FCCF'!I19</f>
        <v>0</v>
      </c>
      <c r="O12">
        <f>+'Reporte a FCCF'!J19</f>
        <v>1</v>
      </c>
      <c r="P12">
        <f>+'Reporte a FCCF'!K19</f>
        <v>2</v>
      </c>
    </row>
    <row r="13" spans="1:16">
      <c r="A13" t="str">
        <f>+'Reporte a FCCF'!$I$4</f>
        <v>Primera A</v>
      </c>
      <c r="B13" t="str">
        <f>+'Reporte a FCCF'!$I$2</f>
        <v>Apertura 2026</v>
      </c>
      <c r="C13" s="12">
        <f>+'Reporte a FCCF'!$Q$2</f>
        <v>0</v>
      </c>
      <c r="D13" t="str">
        <f>+'Reporte a FCCF'!$C$2</f>
        <v>Vélez</v>
      </c>
      <c r="E13" t="str">
        <f>+'Reporte a FCCF'!$C$4</f>
        <v>Avellaneda</v>
      </c>
      <c r="F13" t="s">
        <v>9</v>
      </c>
      <c r="G13">
        <f>+'Reporte a FCCF'!$B$20</f>
        <v>0</v>
      </c>
      <c r="H13">
        <f>+'Reporte a FCCF'!$C$20</f>
        <v>0</v>
      </c>
      <c r="I13">
        <f>+'Reporte a FCCF'!D20</f>
        <v>0</v>
      </c>
      <c r="J13">
        <f>+'Reporte a FCCF'!E20</f>
        <v>0</v>
      </c>
      <c r="K13">
        <f>+'Reporte a FCCF'!F20</f>
        <v>0</v>
      </c>
      <c r="L13">
        <f>+'Reporte a FCCF'!G20</f>
        <v>0</v>
      </c>
      <c r="M13">
        <f>+'Reporte a FCCF'!H20</f>
        <v>0</v>
      </c>
      <c r="N13">
        <f>+'Reporte a FCCF'!I20</f>
        <v>0</v>
      </c>
      <c r="O13">
        <f>+'Reporte a FCCF'!J20</f>
        <v>0</v>
      </c>
      <c r="P13">
        <f>+'Reporte a FCCF'!K20</f>
        <v>0</v>
      </c>
    </row>
    <row r="14" spans="1:16">
      <c r="A14" t="str">
        <f>+'Reporte a FCCF'!$I$4</f>
        <v>Primera A</v>
      </c>
      <c r="B14" t="str">
        <f>+'Reporte a FCCF'!$I$2</f>
        <v>Apertura 2026</v>
      </c>
      <c r="C14" s="12">
        <f>+'Reporte a FCCF'!$Q$2</f>
        <v>0</v>
      </c>
      <c r="D14" t="str">
        <f>+'Reporte a FCCF'!$C$2</f>
        <v>Vélez</v>
      </c>
      <c r="E14" t="str">
        <f>+'Reporte a FCCF'!$C$4</f>
        <v>Avellaneda</v>
      </c>
      <c r="F14" t="s">
        <v>10</v>
      </c>
      <c r="G14">
        <f>+'Reporte a FCCF'!$B$9</f>
        <v>1</v>
      </c>
      <c r="H14" t="str">
        <f>+'Reporte a FCCF'!$C$9</f>
        <v>LUCIA COSTA</v>
      </c>
      <c r="I14">
        <f>+'Reporte a FCCF'!L9</f>
        <v>0</v>
      </c>
      <c r="J14">
        <f>+'Reporte a FCCF'!M9</f>
        <v>0</v>
      </c>
      <c r="K14">
        <f>+'Reporte a FCCF'!N9</f>
        <v>0</v>
      </c>
      <c r="L14">
        <f>+'Reporte a FCCF'!O9</f>
        <v>1</v>
      </c>
      <c r="M14">
        <f>+'Reporte a FCCF'!P9</f>
        <v>0</v>
      </c>
      <c r="N14">
        <f>+'Reporte a FCCF'!Q9</f>
        <v>0</v>
      </c>
      <c r="O14">
        <f>+'Reporte a FCCF'!R9</f>
        <v>1</v>
      </c>
      <c r="P14">
        <f>+'Reporte a FCCF'!S9</f>
        <v>5</v>
      </c>
    </row>
    <row r="15" spans="1:16">
      <c r="A15" t="str">
        <f>+'Reporte a FCCF'!$I$4</f>
        <v>Primera A</v>
      </c>
      <c r="B15" t="str">
        <f>+'Reporte a FCCF'!$I$2</f>
        <v>Apertura 2026</v>
      </c>
      <c r="C15" s="12">
        <f>+'Reporte a FCCF'!$Q$2</f>
        <v>0</v>
      </c>
      <c r="D15" t="str">
        <f>+'Reporte a FCCF'!$C$2</f>
        <v>Vélez</v>
      </c>
      <c r="E15" t="str">
        <f>+'Reporte a FCCF'!$C$4</f>
        <v>Avellaneda</v>
      </c>
      <c r="F15" t="s">
        <v>10</v>
      </c>
      <c r="G15">
        <f>+'Reporte a FCCF'!$B$10</f>
        <v>5</v>
      </c>
      <c r="H15" t="str">
        <f>+'Reporte a FCCF'!$C$10</f>
        <v>MARIELA ELIAS</v>
      </c>
      <c r="I15">
        <f>+'Reporte a FCCF'!L10</f>
        <v>1</v>
      </c>
      <c r="J15">
        <f>+'Reporte a FCCF'!M10</f>
        <v>0</v>
      </c>
      <c r="K15">
        <f>+'Reporte a FCCF'!N10</f>
        <v>0</v>
      </c>
      <c r="L15">
        <f>+'Reporte a FCCF'!O10</f>
        <v>0</v>
      </c>
      <c r="M15">
        <f>+'Reporte a FCCF'!P10</f>
        <v>3</v>
      </c>
      <c r="N15">
        <f>+'Reporte a FCCF'!Q10</f>
        <v>2</v>
      </c>
      <c r="O15">
        <f>+'Reporte a FCCF'!R10</f>
        <v>4</v>
      </c>
      <c r="P15">
        <f>+'Reporte a FCCF'!S10</f>
        <v>5</v>
      </c>
    </row>
    <row r="16" spans="1:16">
      <c r="A16" t="str">
        <f>+'Reporte a FCCF'!$I$4</f>
        <v>Primera A</v>
      </c>
      <c r="B16" t="str">
        <f>+'Reporte a FCCF'!$I$2</f>
        <v>Apertura 2026</v>
      </c>
      <c r="C16" s="12">
        <f>+'Reporte a FCCF'!$Q$2</f>
        <v>0</v>
      </c>
      <c r="D16" t="str">
        <f>+'Reporte a FCCF'!$C$2</f>
        <v>Vélez</v>
      </c>
      <c r="E16" t="str">
        <f>+'Reporte a FCCF'!$C$4</f>
        <v>Avellaneda</v>
      </c>
      <c r="F16" t="s">
        <v>10</v>
      </c>
      <c r="G16">
        <f>+'Reporte a FCCF'!$B$11</f>
        <v>6</v>
      </c>
      <c r="H16" t="str">
        <f>+'Reporte a FCCF'!$C$11</f>
        <v>MALENA ZUCCARINO</v>
      </c>
      <c r="I16">
        <f>+'Reporte a FCCF'!L11</f>
        <v>4</v>
      </c>
      <c r="J16">
        <f>+'Reporte a FCCF'!M11</f>
        <v>2</v>
      </c>
      <c r="K16">
        <f>+'Reporte a FCCF'!N11</f>
        <v>0</v>
      </c>
      <c r="L16">
        <f>+'Reporte a FCCF'!O11</f>
        <v>2</v>
      </c>
      <c r="M16">
        <f>+'Reporte a FCCF'!P11</f>
        <v>1</v>
      </c>
      <c r="N16">
        <f>+'Reporte a FCCF'!Q11</f>
        <v>0</v>
      </c>
      <c r="O16">
        <f>+'Reporte a FCCF'!R11</f>
        <v>0</v>
      </c>
      <c r="P16">
        <f>+'Reporte a FCCF'!S11</f>
        <v>3</v>
      </c>
    </row>
    <row r="17" spans="1:16">
      <c r="A17" t="str">
        <f>+'Reporte a FCCF'!$I$4</f>
        <v>Primera A</v>
      </c>
      <c r="B17" t="str">
        <f>+'Reporte a FCCF'!$I$2</f>
        <v>Apertura 2026</v>
      </c>
      <c r="C17" s="12">
        <f>+'Reporte a FCCF'!$Q$2</f>
        <v>0</v>
      </c>
      <c r="D17" t="str">
        <f>+'Reporte a FCCF'!$C$2</f>
        <v>Vélez</v>
      </c>
      <c r="E17" t="str">
        <f>+'Reporte a FCCF'!$C$4</f>
        <v>Avellaneda</v>
      </c>
      <c r="F17" t="s">
        <v>10</v>
      </c>
      <c r="G17">
        <f>+'Reporte a FCCF'!$B$12</f>
        <v>7</v>
      </c>
      <c r="H17" t="str">
        <f>+'Reporte a FCCF'!$C$12</f>
        <v>JIMENA GARCIA</v>
      </c>
      <c r="I17">
        <f>+'Reporte a FCCF'!L12</f>
        <v>9</v>
      </c>
      <c r="J17">
        <f>+'Reporte a FCCF'!M12</f>
        <v>4</v>
      </c>
      <c r="K17">
        <f>+'Reporte a FCCF'!N12</f>
        <v>0</v>
      </c>
      <c r="L17">
        <f>+'Reporte a FCCF'!O12</f>
        <v>1</v>
      </c>
      <c r="M17">
        <f>+'Reporte a FCCF'!P12</f>
        <v>0</v>
      </c>
      <c r="N17">
        <f>+'Reporte a FCCF'!Q12</f>
        <v>0</v>
      </c>
      <c r="O17">
        <f>+'Reporte a FCCF'!R12</f>
        <v>1</v>
      </c>
      <c r="P17">
        <f>+'Reporte a FCCF'!S12</f>
        <v>1</v>
      </c>
    </row>
    <row r="18" spans="1:16">
      <c r="A18" t="str">
        <f>+'Reporte a FCCF'!$I$4</f>
        <v>Primera A</v>
      </c>
      <c r="B18" t="str">
        <f>+'Reporte a FCCF'!$I$2</f>
        <v>Apertura 2026</v>
      </c>
      <c r="C18" s="12">
        <f>+'Reporte a FCCF'!$Q$2</f>
        <v>0</v>
      </c>
      <c r="D18" t="str">
        <f>+'Reporte a FCCF'!$C$2</f>
        <v>Vélez</v>
      </c>
      <c r="E18" t="str">
        <f>+'Reporte a FCCF'!$C$4</f>
        <v>Avellaneda</v>
      </c>
      <c r="F18" t="s">
        <v>10</v>
      </c>
      <c r="G18">
        <f>+'Reporte a FCCF'!$B$13</f>
        <v>8</v>
      </c>
      <c r="H18" t="str">
        <f>+'Reporte a FCCF'!$C$13</f>
        <v>SOFIA NAÓN</v>
      </c>
      <c r="I18">
        <f>+'Reporte a FCCF'!L13</f>
        <v>8</v>
      </c>
      <c r="J18">
        <f>+'Reporte a FCCF'!M13</f>
        <v>5</v>
      </c>
      <c r="K18">
        <f>+'Reporte a FCCF'!N13</f>
        <v>0</v>
      </c>
      <c r="L18">
        <f>+'Reporte a FCCF'!O13</f>
        <v>2</v>
      </c>
      <c r="M18">
        <f>+'Reporte a FCCF'!P13</f>
        <v>0</v>
      </c>
      <c r="N18">
        <f>+'Reporte a FCCF'!Q13</f>
        <v>1</v>
      </c>
      <c r="O18">
        <f>+'Reporte a FCCF'!R13</f>
        <v>0</v>
      </c>
      <c r="P18">
        <f>+'Reporte a FCCF'!S13</f>
        <v>3</v>
      </c>
    </row>
    <row r="19" spans="1:16">
      <c r="A19" t="str">
        <f>+'Reporte a FCCF'!$I$4</f>
        <v>Primera A</v>
      </c>
      <c r="B19" t="str">
        <f>+'Reporte a FCCF'!$I$2</f>
        <v>Apertura 2026</v>
      </c>
      <c r="C19" s="12">
        <f>+'Reporte a FCCF'!$Q$2</f>
        <v>0</v>
      </c>
      <c r="D19" t="str">
        <f>+'Reporte a FCCF'!$C$2</f>
        <v>Vélez</v>
      </c>
      <c r="E19" t="str">
        <f>+'Reporte a FCCF'!$C$4</f>
        <v>Avellaneda</v>
      </c>
      <c r="F19" t="s">
        <v>10</v>
      </c>
      <c r="G19">
        <f>+'Reporte a FCCF'!$B$14</f>
        <v>9</v>
      </c>
      <c r="H19" t="str">
        <f>+'Reporte a FCCF'!$C$14</f>
        <v>VICTORIA FONTAN</v>
      </c>
      <c r="I19">
        <f>+'Reporte a FCCF'!L14</f>
        <v>4</v>
      </c>
      <c r="J19">
        <f>+'Reporte a FCCF'!M14</f>
        <v>2</v>
      </c>
      <c r="K19">
        <f>+'Reporte a FCCF'!N14</f>
        <v>0</v>
      </c>
      <c r="L19">
        <f>+'Reporte a FCCF'!O14</f>
        <v>0</v>
      </c>
      <c r="M19">
        <f>+'Reporte a FCCF'!P14</f>
        <v>10</v>
      </c>
      <c r="N19">
        <f>+'Reporte a FCCF'!Q14</f>
        <v>0</v>
      </c>
      <c r="O19">
        <f>+'Reporte a FCCF'!R14</f>
        <v>0</v>
      </c>
      <c r="P19">
        <f>+'Reporte a FCCF'!S14</f>
        <v>1</v>
      </c>
    </row>
    <row r="20" spans="1:16">
      <c r="A20" t="str">
        <f>+'Reporte a FCCF'!$I$4</f>
        <v>Primera A</v>
      </c>
      <c r="B20" t="str">
        <f>+'Reporte a FCCF'!$I$2</f>
        <v>Apertura 2026</v>
      </c>
      <c r="C20" s="12">
        <f>+'Reporte a FCCF'!$Q$2</f>
        <v>0</v>
      </c>
      <c r="D20" t="str">
        <f>+'Reporte a FCCF'!$C$2</f>
        <v>Vélez</v>
      </c>
      <c r="E20" t="str">
        <f>+'Reporte a FCCF'!$C$4</f>
        <v>Avellaneda</v>
      </c>
      <c r="F20" t="s">
        <v>10</v>
      </c>
      <c r="G20">
        <f>+'Reporte a FCCF'!$B$15</f>
        <v>10</v>
      </c>
      <c r="H20" t="str">
        <f>+'Reporte a FCCF'!$C$15</f>
        <v>ZAHIRA HERRERA</v>
      </c>
      <c r="I20">
        <f>+'Reporte a FCCF'!L15</f>
        <v>0</v>
      </c>
      <c r="J20">
        <f>+'Reporte a FCCF'!M15</f>
        <v>0</v>
      </c>
      <c r="K20">
        <f>+'Reporte a FCCF'!N15</f>
        <v>0</v>
      </c>
      <c r="L20">
        <f>+'Reporte a FCCF'!O15</f>
        <v>0</v>
      </c>
      <c r="M20">
        <f>+'Reporte a FCCF'!P15</f>
        <v>0</v>
      </c>
      <c r="N20">
        <f>+'Reporte a FCCF'!Q15</f>
        <v>1</v>
      </c>
      <c r="O20">
        <f>+'Reporte a FCCF'!R15</f>
        <v>0</v>
      </c>
      <c r="P20">
        <f>+'Reporte a FCCF'!S15</f>
        <v>3</v>
      </c>
    </row>
    <row r="21" spans="1:16">
      <c r="A21" t="str">
        <f>+'Reporte a FCCF'!$I$4</f>
        <v>Primera A</v>
      </c>
      <c r="B21" t="str">
        <f>+'Reporte a FCCF'!$I$2</f>
        <v>Apertura 2026</v>
      </c>
      <c r="C21" s="12">
        <f>+'Reporte a FCCF'!$Q$2</f>
        <v>0</v>
      </c>
      <c r="D21" t="str">
        <f>+'Reporte a FCCF'!$C$2</f>
        <v>Vélez</v>
      </c>
      <c r="E21" t="str">
        <f>+'Reporte a FCCF'!$C$4</f>
        <v>Avellaneda</v>
      </c>
      <c r="F21" t="s">
        <v>10</v>
      </c>
      <c r="G21">
        <f>+'Reporte a FCCF'!$B$16</f>
        <v>11</v>
      </c>
      <c r="H21" t="str">
        <f>+'Reporte a FCCF'!$C$16</f>
        <v>LUCILA GRANATELLI</v>
      </c>
      <c r="I21">
        <f>+'Reporte a FCCF'!L16</f>
        <v>7</v>
      </c>
      <c r="J21">
        <f>+'Reporte a FCCF'!M16</f>
        <v>5</v>
      </c>
      <c r="K21">
        <f>+'Reporte a FCCF'!N16</f>
        <v>0</v>
      </c>
      <c r="L21">
        <f>+'Reporte a FCCF'!O16</f>
        <v>2</v>
      </c>
      <c r="M21">
        <f>+'Reporte a FCCF'!P16</f>
        <v>0</v>
      </c>
      <c r="N21">
        <f>+'Reporte a FCCF'!Q16</f>
        <v>0</v>
      </c>
      <c r="O21">
        <f>+'Reporte a FCCF'!R16</f>
        <v>1</v>
      </c>
      <c r="P21">
        <f>+'Reporte a FCCF'!S16</f>
        <v>0</v>
      </c>
    </row>
    <row r="22" spans="1:16">
      <c r="A22" t="str">
        <f>+'Reporte a FCCF'!$I$4</f>
        <v>Primera A</v>
      </c>
      <c r="B22" t="str">
        <f>+'Reporte a FCCF'!$I$2</f>
        <v>Apertura 2026</v>
      </c>
      <c r="C22" s="12">
        <f>+'Reporte a FCCF'!$Q$2</f>
        <v>0</v>
      </c>
      <c r="D22" t="str">
        <f>+'Reporte a FCCF'!$C$2</f>
        <v>Vélez</v>
      </c>
      <c r="E22" t="str">
        <f>+'Reporte a FCCF'!$C$4</f>
        <v>Avellaneda</v>
      </c>
      <c r="F22" t="s">
        <v>10</v>
      </c>
      <c r="G22">
        <f>+'Reporte a FCCF'!$B$17</f>
        <v>12</v>
      </c>
      <c r="H22" t="str">
        <f>+'Reporte a FCCF'!$C$17</f>
        <v>MARIA PAZ GOMEZ</v>
      </c>
      <c r="I22">
        <f>+'Reporte a FCCF'!L17</f>
        <v>10</v>
      </c>
      <c r="J22">
        <f>+'Reporte a FCCF'!M17</f>
        <v>5</v>
      </c>
      <c r="K22">
        <f>+'Reporte a FCCF'!N17</f>
        <v>2</v>
      </c>
      <c r="L22">
        <f>+'Reporte a FCCF'!O17</f>
        <v>1</v>
      </c>
      <c r="M22">
        <f>+'Reporte a FCCF'!P17</f>
        <v>1</v>
      </c>
      <c r="N22">
        <f>+'Reporte a FCCF'!Q17</f>
        <v>0</v>
      </c>
      <c r="O22">
        <f>+'Reporte a FCCF'!R17</f>
        <v>1</v>
      </c>
      <c r="P22">
        <f>+'Reporte a FCCF'!S17</f>
        <v>1</v>
      </c>
    </row>
    <row r="23" spans="1:16">
      <c r="A23" t="str">
        <f>+'Reporte a FCCF'!$I$4</f>
        <v>Primera A</v>
      </c>
      <c r="B23" t="str">
        <f>+'Reporte a FCCF'!$I$2</f>
        <v>Apertura 2026</v>
      </c>
      <c r="C23" s="12">
        <f>+'Reporte a FCCF'!$Q$2</f>
        <v>0</v>
      </c>
      <c r="D23" t="str">
        <f>+'Reporte a FCCF'!$C$2</f>
        <v>Vélez</v>
      </c>
      <c r="E23" t="str">
        <f>+'Reporte a FCCF'!$C$4</f>
        <v>Avellaneda</v>
      </c>
      <c r="F23" t="s">
        <v>10</v>
      </c>
      <c r="G23">
        <f>+'Reporte a FCCF'!$B$18</f>
        <v>14</v>
      </c>
      <c r="H23" t="str">
        <f>+'Reporte a FCCF'!$C$18</f>
        <v>LUCIANA BRINGAS</v>
      </c>
      <c r="I23">
        <f>+'Reporte a FCCF'!L18</f>
        <v>1</v>
      </c>
      <c r="J23">
        <f>+'Reporte a FCCF'!M18</f>
        <v>0</v>
      </c>
      <c r="K23">
        <f>+'Reporte a FCCF'!N18</f>
        <v>0</v>
      </c>
      <c r="L23">
        <f>+'Reporte a FCCF'!O18</f>
        <v>0</v>
      </c>
      <c r="M23">
        <f>+'Reporte a FCCF'!P18</f>
        <v>1</v>
      </c>
      <c r="N23">
        <f>+'Reporte a FCCF'!Q18</f>
        <v>1</v>
      </c>
      <c r="O23">
        <f>+'Reporte a FCCF'!R18</f>
        <v>0</v>
      </c>
      <c r="P23">
        <f>+'Reporte a FCCF'!S18</f>
        <v>4</v>
      </c>
    </row>
    <row r="24" spans="1:16">
      <c r="A24" t="str">
        <f>+'Reporte a FCCF'!$I$4</f>
        <v>Primera A</v>
      </c>
      <c r="B24" t="str">
        <f>+'Reporte a FCCF'!$I$2</f>
        <v>Apertura 2026</v>
      </c>
      <c r="C24" s="12">
        <f>+'Reporte a FCCF'!$Q$2</f>
        <v>0</v>
      </c>
      <c r="D24" t="str">
        <f>+'Reporte a FCCF'!$C$2</f>
        <v>Vélez</v>
      </c>
      <c r="E24" t="str">
        <f>+'Reporte a FCCF'!$C$4</f>
        <v>Avellaneda</v>
      </c>
      <c r="F24" t="s">
        <v>10</v>
      </c>
      <c r="G24">
        <f>+'Reporte a FCCF'!$B$19</f>
        <v>15</v>
      </c>
      <c r="H24" t="str">
        <f>+'Reporte a FCCF'!$C$19</f>
        <v>CANDELA THIM</v>
      </c>
      <c r="I24">
        <f>+'Reporte a FCCF'!L19</f>
        <v>0</v>
      </c>
      <c r="J24">
        <f>+'Reporte a FCCF'!M19</f>
        <v>0</v>
      </c>
      <c r="K24">
        <f>+'Reporte a FCCF'!N19</f>
        <v>0</v>
      </c>
      <c r="L24">
        <f>+'Reporte a FCCF'!O19</f>
        <v>0</v>
      </c>
      <c r="M24">
        <f>+'Reporte a FCCF'!P19</f>
        <v>0</v>
      </c>
      <c r="N24">
        <f>+'Reporte a FCCF'!Q19</f>
        <v>0</v>
      </c>
      <c r="O24">
        <f>+'Reporte a FCCF'!R19</f>
        <v>0</v>
      </c>
      <c r="P24">
        <f>+'Reporte a FCCF'!S19</f>
        <v>0</v>
      </c>
    </row>
    <row r="25" spans="1:16">
      <c r="A25" t="str">
        <f>+'Reporte a FCCF'!$I$4</f>
        <v>Primera A</v>
      </c>
      <c r="B25" t="str">
        <f>+'Reporte a FCCF'!$I$2</f>
        <v>Apertura 2026</v>
      </c>
      <c r="C25" s="12">
        <f>+'Reporte a FCCF'!$Q$2</f>
        <v>0</v>
      </c>
      <c r="D25" t="str">
        <f>+'Reporte a FCCF'!$C$2</f>
        <v>Vélez</v>
      </c>
      <c r="E25" t="str">
        <f>+'Reporte a FCCF'!$C$4</f>
        <v>Avellaneda</v>
      </c>
      <c r="F25" t="s">
        <v>10</v>
      </c>
      <c r="G25">
        <f>+'Reporte a FCCF'!$B$20</f>
        <v>0</v>
      </c>
      <c r="H25">
        <f>+'Reporte a FCCF'!$C$20</f>
        <v>0</v>
      </c>
      <c r="I25">
        <f>+'Reporte a FCCF'!L20</f>
        <v>0</v>
      </c>
      <c r="J25">
        <f>+'Reporte a FCCF'!M20</f>
        <v>0</v>
      </c>
      <c r="K25">
        <f>+'Reporte a FCCF'!N20</f>
        <v>0</v>
      </c>
      <c r="L25">
        <f>+'Reporte a FCCF'!O20</f>
        <v>0</v>
      </c>
      <c r="M25">
        <f>+'Reporte a FCCF'!P20</f>
        <v>0</v>
      </c>
      <c r="N25">
        <f>+'Reporte a FCCF'!Q20</f>
        <v>0</v>
      </c>
      <c r="O25">
        <f>+'Reporte a FCCF'!R20</f>
        <v>0</v>
      </c>
      <c r="P25">
        <f>+'Reporte a FCCF'!S20</f>
        <v>0</v>
      </c>
    </row>
    <row r="26" spans="1:16">
      <c r="A26" t="str">
        <f>+'Reporte a FCCF'!$I$4</f>
        <v>Primera A</v>
      </c>
      <c r="B26" t="str">
        <f>+'Reporte a FCCF'!$I$2</f>
        <v>Apertura 2026</v>
      </c>
      <c r="C26" s="12">
        <f>+'Reporte a FCCF'!$Q$2</f>
        <v>0</v>
      </c>
      <c r="D26" t="str">
        <f>+'Reporte a FCCF'!$C$2</f>
        <v>Vélez</v>
      </c>
      <c r="E26" t="str">
        <f>+'Reporte a FCCF'!$C$4</f>
        <v>Avellaneda</v>
      </c>
      <c r="F26" t="s">
        <v>11</v>
      </c>
      <c r="G26">
        <f>+'Reporte a FCCF'!$B$9</f>
        <v>1</v>
      </c>
      <c r="H26" t="str">
        <f>+'Reporte a FCCF'!$C$9</f>
        <v>LUCIA COSTA</v>
      </c>
      <c r="I26">
        <f>+'Reporte a FCCF'!T9</f>
        <v>0</v>
      </c>
      <c r="J26">
        <f>+'Reporte a FCCF'!U9</f>
        <v>0</v>
      </c>
      <c r="K26">
        <f>+'Reporte a FCCF'!V9</f>
        <v>0</v>
      </c>
      <c r="L26">
        <f>+'Reporte a FCCF'!W9</f>
        <v>0</v>
      </c>
      <c r="M26">
        <f>+'Reporte a FCCF'!X9</f>
        <v>0</v>
      </c>
      <c r="N26">
        <f>+'Reporte a FCCF'!Y9</f>
        <v>0</v>
      </c>
      <c r="O26">
        <f>+'Reporte a FCCF'!Z9</f>
        <v>0</v>
      </c>
      <c r="P26">
        <f>+'Reporte a FCCF'!AA9</f>
        <v>0</v>
      </c>
    </row>
    <row r="27" spans="1:16">
      <c r="A27" t="str">
        <f>+'Reporte a FCCF'!$I$4</f>
        <v>Primera A</v>
      </c>
      <c r="B27" t="str">
        <f>+'Reporte a FCCF'!$I$2</f>
        <v>Apertura 2026</v>
      </c>
      <c r="C27" s="12">
        <f>+'Reporte a FCCF'!$Q$2</f>
        <v>0</v>
      </c>
      <c r="D27" t="str">
        <f>+'Reporte a FCCF'!$C$2</f>
        <v>Vélez</v>
      </c>
      <c r="E27" t="str">
        <f>+'Reporte a FCCF'!$C$4</f>
        <v>Avellaneda</v>
      </c>
      <c r="F27" t="s">
        <v>11</v>
      </c>
      <c r="G27">
        <f>+'Reporte a FCCF'!$B$10</f>
        <v>5</v>
      </c>
      <c r="H27" t="str">
        <f>+'Reporte a FCCF'!$C$10</f>
        <v>MARIELA ELIAS</v>
      </c>
      <c r="I27">
        <f>+'Reporte a FCCF'!T10</f>
        <v>0</v>
      </c>
      <c r="J27">
        <f>+'Reporte a FCCF'!U10</f>
        <v>0</v>
      </c>
      <c r="K27">
        <f>+'Reporte a FCCF'!V10</f>
        <v>0</v>
      </c>
      <c r="L27">
        <f>+'Reporte a FCCF'!W10</f>
        <v>0</v>
      </c>
      <c r="M27">
        <f>+'Reporte a FCCF'!X10</f>
        <v>0</v>
      </c>
      <c r="N27">
        <f>+'Reporte a FCCF'!Y10</f>
        <v>0</v>
      </c>
      <c r="O27">
        <f>+'Reporte a FCCF'!Z10</f>
        <v>0</v>
      </c>
      <c r="P27">
        <f>+'Reporte a FCCF'!AA10</f>
        <v>0</v>
      </c>
    </row>
    <row r="28" spans="1:16">
      <c r="A28" t="str">
        <f>+'Reporte a FCCF'!$I$4</f>
        <v>Primera A</v>
      </c>
      <c r="B28" t="str">
        <f>+'Reporte a FCCF'!$I$2</f>
        <v>Apertura 2026</v>
      </c>
      <c r="C28" s="12">
        <f>+'Reporte a FCCF'!$Q$2</f>
        <v>0</v>
      </c>
      <c r="D28" t="str">
        <f>+'Reporte a FCCF'!$C$2</f>
        <v>Vélez</v>
      </c>
      <c r="E28" t="str">
        <f>+'Reporte a FCCF'!$C$4</f>
        <v>Avellaneda</v>
      </c>
      <c r="F28" t="s">
        <v>11</v>
      </c>
      <c r="G28">
        <f>+'Reporte a FCCF'!$B$11</f>
        <v>6</v>
      </c>
      <c r="H28" t="str">
        <f>+'Reporte a FCCF'!$C$11</f>
        <v>MALENA ZUCCARINO</v>
      </c>
      <c r="I28">
        <f>+'Reporte a FCCF'!T11</f>
        <v>0</v>
      </c>
      <c r="J28">
        <f>+'Reporte a FCCF'!U11</f>
        <v>0</v>
      </c>
      <c r="K28">
        <f>+'Reporte a FCCF'!V11</f>
        <v>0</v>
      </c>
      <c r="L28">
        <f>+'Reporte a FCCF'!W11</f>
        <v>0</v>
      </c>
      <c r="M28">
        <f>+'Reporte a FCCF'!X11</f>
        <v>0</v>
      </c>
      <c r="N28">
        <f>+'Reporte a FCCF'!Y11</f>
        <v>0</v>
      </c>
      <c r="O28">
        <f>+'Reporte a FCCF'!Z11</f>
        <v>0</v>
      </c>
      <c r="P28">
        <f>+'Reporte a FCCF'!AA11</f>
        <v>0</v>
      </c>
    </row>
    <row r="29" spans="1:16">
      <c r="A29" t="str">
        <f>+'Reporte a FCCF'!$I$4</f>
        <v>Primera A</v>
      </c>
      <c r="B29" t="str">
        <f>+'Reporte a FCCF'!$I$2</f>
        <v>Apertura 2026</v>
      </c>
      <c r="C29" s="12">
        <f>+'Reporte a FCCF'!$Q$2</f>
        <v>0</v>
      </c>
      <c r="D29" t="str">
        <f>+'Reporte a FCCF'!$C$2</f>
        <v>Vélez</v>
      </c>
      <c r="E29" t="str">
        <f>+'Reporte a FCCF'!$C$4</f>
        <v>Avellaneda</v>
      </c>
      <c r="F29" t="s">
        <v>11</v>
      </c>
      <c r="G29">
        <f>+'Reporte a FCCF'!$B$12</f>
        <v>7</v>
      </c>
      <c r="H29" t="str">
        <f>+'Reporte a FCCF'!$C$12</f>
        <v>JIMENA GARCIA</v>
      </c>
      <c r="I29">
        <f>+'Reporte a FCCF'!T12</f>
        <v>0</v>
      </c>
      <c r="J29">
        <f>+'Reporte a FCCF'!U12</f>
        <v>0</v>
      </c>
      <c r="K29">
        <f>+'Reporte a FCCF'!V12</f>
        <v>0</v>
      </c>
      <c r="L29">
        <f>+'Reporte a FCCF'!W12</f>
        <v>0</v>
      </c>
      <c r="M29">
        <f>+'Reporte a FCCF'!X12</f>
        <v>0</v>
      </c>
      <c r="N29">
        <f>+'Reporte a FCCF'!Y12</f>
        <v>0</v>
      </c>
      <c r="O29">
        <f>+'Reporte a FCCF'!Z12</f>
        <v>0</v>
      </c>
      <c r="P29">
        <f>+'Reporte a FCCF'!AA12</f>
        <v>0</v>
      </c>
    </row>
    <row r="30" spans="1:16">
      <c r="A30" t="str">
        <f>+'Reporte a FCCF'!$I$4</f>
        <v>Primera A</v>
      </c>
      <c r="B30" t="str">
        <f>+'Reporte a FCCF'!$I$2</f>
        <v>Apertura 2026</v>
      </c>
      <c r="C30" s="12">
        <f>+'Reporte a FCCF'!$Q$2</f>
        <v>0</v>
      </c>
      <c r="D30" t="str">
        <f>+'Reporte a FCCF'!$C$2</f>
        <v>Vélez</v>
      </c>
      <c r="E30" t="str">
        <f>+'Reporte a FCCF'!$C$4</f>
        <v>Avellaneda</v>
      </c>
      <c r="F30" t="s">
        <v>11</v>
      </c>
      <c r="G30">
        <f>+'Reporte a FCCF'!$B$13</f>
        <v>8</v>
      </c>
      <c r="H30" t="str">
        <f>+'Reporte a FCCF'!$C$13</f>
        <v>SOFIA NAÓN</v>
      </c>
      <c r="I30">
        <f>+'Reporte a FCCF'!T13</f>
        <v>0</v>
      </c>
      <c r="J30">
        <f>+'Reporte a FCCF'!U13</f>
        <v>0</v>
      </c>
      <c r="K30">
        <f>+'Reporte a FCCF'!V13</f>
        <v>0</v>
      </c>
      <c r="L30">
        <f>+'Reporte a FCCF'!W13</f>
        <v>0</v>
      </c>
      <c r="M30">
        <f>+'Reporte a FCCF'!X13</f>
        <v>0</v>
      </c>
      <c r="N30">
        <f>+'Reporte a FCCF'!Y13</f>
        <v>0</v>
      </c>
      <c r="O30">
        <f>+'Reporte a FCCF'!Z13</f>
        <v>0</v>
      </c>
      <c r="P30">
        <f>+'Reporte a FCCF'!AA13</f>
        <v>0</v>
      </c>
    </row>
    <row r="31" spans="1:16">
      <c r="A31" t="str">
        <f>+'Reporte a FCCF'!$I$4</f>
        <v>Primera A</v>
      </c>
      <c r="B31" t="str">
        <f>+'Reporte a FCCF'!$I$2</f>
        <v>Apertura 2026</v>
      </c>
      <c r="C31" s="12">
        <f>+'Reporte a FCCF'!$Q$2</f>
        <v>0</v>
      </c>
      <c r="D31" t="str">
        <f>+'Reporte a FCCF'!$C$2</f>
        <v>Vélez</v>
      </c>
      <c r="E31" t="str">
        <f>+'Reporte a FCCF'!$C$4</f>
        <v>Avellaneda</v>
      </c>
      <c r="F31" t="s">
        <v>11</v>
      </c>
      <c r="G31">
        <f>+'Reporte a FCCF'!$B$14</f>
        <v>9</v>
      </c>
      <c r="H31" t="str">
        <f>+'Reporte a FCCF'!$C$14</f>
        <v>VICTORIA FONTAN</v>
      </c>
      <c r="I31">
        <f>+'Reporte a FCCF'!T14</f>
        <v>0</v>
      </c>
      <c r="J31">
        <f>+'Reporte a FCCF'!U14</f>
        <v>0</v>
      </c>
      <c r="K31">
        <f>+'Reporte a FCCF'!V14</f>
        <v>0</v>
      </c>
      <c r="L31">
        <f>+'Reporte a FCCF'!W14</f>
        <v>0</v>
      </c>
      <c r="M31">
        <f>+'Reporte a FCCF'!X14</f>
        <v>0</v>
      </c>
      <c r="N31">
        <f>+'Reporte a FCCF'!Y14</f>
        <v>0</v>
      </c>
      <c r="O31">
        <f>+'Reporte a FCCF'!Z14</f>
        <v>0</v>
      </c>
      <c r="P31">
        <f>+'Reporte a FCCF'!AA14</f>
        <v>0</v>
      </c>
    </row>
    <row r="32" spans="1:16">
      <c r="A32" t="str">
        <f>+'Reporte a FCCF'!$I$4</f>
        <v>Primera A</v>
      </c>
      <c r="B32" t="str">
        <f>+'Reporte a FCCF'!$I$2</f>
        <v>Apertura 2026</v>
      </c>
      <c r="C32" s="12">
        <f>+'Reporte a FCCF'!$Q$2</f>
        <v>0</v>
      </c>
      <c r="D32" t="str">
        <f>+'Reporte a FCCF'!$C$2</f>
        <v>Vélez</v>
      </c>
      <c r="E32" t="str">
        <f>+'Reporte a FCCF'!$C$4</f>
        <v>Avellaneda</v>
      </c>
      <c r="F32" t="s">
        <v>11</v>
      </c>
      <c r="G32">
        <f>+'Reporte a FCCF'!$B$15</f>
        <v>10</v>
      </c>
      <c r="H32" t="str">
        <f>+'Reporte a FCCF'!$C$15</f>
        <v>ZAHIRA HERRERA</v>
      </c>
      <c r="I32">
        <f>+'Reporte a FCCF'!T15</f>
        <v>0</v>
      </c>
      <c r="J32">
        <f>+'Reporte a FCCF'!U15</f>
        <v>0</v>
      </c>
      <c r="K32">
        <f>+'Reporte a FCCF'!V15</f>
        <v>0</v>
      </c>
      <c r="L32">
        <f>+'Reporte a FCCF'!W15</f>
        <v>0</v>
      </c>
      <c r="M32">
        <f>+'Reporte a FCCF'!X15</f>
        <v>0</v>
      </c>
      <c r="N32">
        <f>+'Reporte a FCCF'!Y15</f>
        <v>0</v>
      </c>
      <c r="O32">
        <f>+'Reporte a FCCF'!Z15</f>
        <v>0</v>
      </c>
      <c r="P32">
        <f>+'Reporte a FCCF'!AA15</f>
        <v>0</v>
      </c>
    </row>
    <row r="33" spans="1:16">
      <c r="A33" t="str">
        <f>+'Reporte a FCCF'!$I$4</f>
        <v>Primera A</v>
      </c>
      <c r="B33" t="str">
        <f>+'Reporte a FCCF'!$I$2</f>
        <v>Apertura 2026</v>
      </c>
      <c r="C33" s="12">
        <f>+'Reporte a FCCF'!$Q$2</f>
        <v>0</v>
      </c>
      <c r="D33" t="str">
        <f>+'Reporte a FCCF'!$C$2</f>
        <v>Vélez</v>
      </c>
      <c r="E33" t="str">
        <f>+'Reporte a FCCF'!$C$4</f>
        <v>Avellaneda</v>
      </c>
      <c r="F33" t="s">
        <v>11</v>
      </c>
      <c r="G33">
        <f>+'Reporte a FCCF'!$B$16</f>
        <v>11</v>
      </c>
      <c r="H33" t="str">
        <f>+'Reporte a FCCF'!$C$16</f>
        <v>LUCILA GRANATELLI</v>
      </c>
      <c r="I33">
        <f>+'Reporte a FCCF'!T16</f>
        <v>0</v>
      </c>
      <c r="J33">
        <f>+'Reporte a FCCF'!U16</f>
        <v>0</v>
      </c>
      <c r="K33">
        <f>+'Reporte a FCCF'!V16</f>
        <v>0</v>
      </c>
      <c r="L33">
        <f>+'Reporte a FCCF'!W16</f>
        <v>0</v>
      </c>
      <c r="M33">
        <f>+'Reporte a FCCF'!X16</f>
        <v>0</v>
      </c>
      <c r="N33">
        <f>+'Reporte a FCCF'!Y16</f>
        <v>0</v>
      </c>
      <c r="O33">
        <f>+'Reporte a FCCF'!Z16</f>
        <v>0</v>
      </c>
      <c r="P33">
        <f>+'Reporte a FCCF'!AA16</f>
        <v>0</v>
      </c>
    </row>
    <row r="34" spans="1:16">
      <c r="A34" t="str">
        <f>+'Reporte a FCCF'!$I$4</f>
        <v>Primera A</v>
      </c>
      <c r="B34" t="str">
        <f>+'Reporte a FCCF'!$I$2</f>
        <v>Apertura 2026</v>
      </c>
      <c r="C34" s="12">
        <f>+'Reporte a FCCF'!$Q$2</f>
        <v>0</v>
      </c>
      <c r="D34" t="str">
        <f>+'Reporte a FCCF'!$C$2</f>
        <v>Vélez</v>
      </c>
      <c r="E34" t="str">
        <f>+'Reporte a FCCF'!$C$4</f>
        <v>Avellaneda</v>
      </c>
      <c r="F34" t="s">
        <v>11</v>
      </c>
      <c r="G34">
        <f>+'Reporte a FCCF'!$B$17</f>
        <v>12</v>
      </c>
      <c r="H34" t="str">
        <f>+'Reporte a FCCF'!$C$17</f>
        <v>MARIA PAZ GOMEZ</v>
      </c>
      <c r="I34">
        <f>+'Reporte a FCCF'!T17</f>
        <v>0</v>
      </c>
      <c r="J34">
        <f>+'Reporte a FCCF'!U17</f>
        <v>0</v>
      </c>
      <c r="K34">
        <f>+'Reporte a FCCF'!V17</f>
        <v>0</v>
      </c>
      <c r="L34">
        <f>+'Reporte a FCCF'!W17</f>
        <v>0</v>
      </c>
      <c r="M34">
        <f>+'Reporte a FCCF'!X17</f>
        <v>0</v>
      </c>
      <c r="N34">
        <f>+'Reporte a FCCF'!Y17</f>
        <v>0</v>
      </c>
      <c r="O34">
        <f>+'Reporte a FCCF'!Z17</f>
        <v>0</v>
      </c>
      <c r="P34">
        <f>+'Reporte a FCCF'!AA17</f>
        <v>0</v>
      </c>
    </row>
    <row r="35" spans="1:16">
      <c r="A35" t="str">
        <f>+'Reporte a FCCF'!$I$4</f>
        <v>Primera A</v>
      </c>
      <c r="B35" t="str">
        <f>+'Reporte a FCCF'!$I$2</f>
        <v>Apertura 2026</v>
      </c>
      <c r="C35" s="12">
        <f>+'Reporte a FCCF'!$Q$2</f>
        <v>0</v>
      </c>
      <c r="D35" t="str">
        <f>+'Reporte a FCCF'!$C$2</f>
        <v>Vélez</v>
      </c>
      <c r="E35" t="str">
        <f>+'Reporte a FCCF'!$C$4</f>
        <v>Avellaneda</v>
      </c>
      <c r="F35" t="s">
        <v>11</v>
      </c>
      <c r="G35">
        <f>+'Reporte a FCCF'!$B$18</f>
        <v>14</v>
      </c>
      <c r="H35" t="str">
        <f>+'Reporte a FCCF'!$C$18</f>
        <v>LUCIANA BRINGAS</v>
      </c>
      <c r="I35">
        <f>+'Reporte a FCCF'!T18</f>
        <v>0</v>
      </c>
      <c r="J35">
        <f>+'Reporte a FCCF'!U18</f>
        <v>0</v>
      </c>
      <c r="K35">
        <f>+'Reporte a FCCF'!V18</f>
        <v>0</v>
      </c>
      <c r="L35">
        <f>+'Reporte a FCCF'!W18</f>
        <v>0</v>
      </c>
      <c r="M35">
        <f>+'Reporte a FCCF'!X18</f>
        <v>0</v>
      </c>
      <c r="N35">
        <f>+'Reporte a FCCF'!Y18</f>
        <v>0</v>
      </c>
      <c r="O35">
        <f>+'Reporte a FCCF'!Z18</f>
        <v>0</v>
      </c>
      <c r="P35">
        <f>+'Reporte a FCCF'!AA18</f>
        <v>0</v>
      </c>
    </row>
    <row r="36" spans="1:16">
      <c r="A36" t="str">
        <f>+'Reporte a FCCF'!$I$4</f>
        <v>Primera A</v>
      </c>
      <c r="B36" t="str">
        <f>+'Reporte a FCCF'!$I$2</f>
        <v>Apertura 2026</v>
      </c>
      <c r="C36" s="12">
        <f>+'Reporte a FCCF'!$Q$2</f>
        <v>0</v>
      </c>
      <c r="D36" t="str">
        <f>+'Reporte a FCCF'!$C$2</f>
        <v>Vélez</v>
      </c>
      <c r="E36" t="str">
        <f>+'Reporte a FCCF'!$C$4</f>
        <v>Avellaneda</v>
      </c>
      <c r="F36" t="s">
        <v>11</v>
      </c>
      <c r="G36">
        <f>+'Reporte a FCCF'!$B$19</f>
        <v>15</v>
      </c>
      <c r="H36" t="str">
        <f>+'Reporte a FCCF'!$C$19</f>
        <v>CANDELA THIM</v>
      </c>
      <c r="I36">
        <f>+'Reporte a FCCF'!T19</f>
        <v>0</v>
      </c>
      <c r="J36">
        <f>+'Reporte a FCCF'!U19</f>
        <v>0</v>
      </c>
      <c r="K36">
        <f>+'Reporte a FCCF'!V19</f>
        <v>0</v>
      </c>
      <c r="L36">
        <f>+'Reporte a FCCF'!W19</f>
        <v>0</v>
      </c>
      <c r="M36">
        <f>+'Reporte a FCCF'!X19</f>
        <v>0</v>
      </c>
      <c r="N36">
        <f>+'Reporte a FCCF'!Y19</f>
        <v>0</v>
      </c>
      <c r="O36">
        <f>+'Reporte a FCCF'!Z19</f>
        <v>0</v>
      </c>
      <c r="P36">
        <f>+'Reporte a FCCF'!AA19</f>
        <v>0</v>
      </c>
    </row>
    <row r="37" spans="1:16">
      <c r="A37" t="str">
        <f>+'Reporte a FCCF'!$I$4</f>
        <v>Primera A</v>
      </c>
      <c r="B37" t="str">
        <f>+'Reporte a FCCF'!$I$2</f>
        <v>Apertura 2026</v>
      </c>
      <c r="C37" s="12">
        <f>+'Reporte a FCCF'!$Q$2</f>
        <v>0</v>
      </c>
      <c r="D37" t="str">
        <f>+'Reporte a FCCF'!$C$2</f>
        <v>Vélez</v>
      </c>
      <c r="E37" t="str">
        <f>+'Reporte a FCCF'!$C$4</f>
        <v>Avellaneda</v>
      </c>
      <c r="F37" t="s">
        <v>11</v>
      </c>
      <c r="G37">
        <f>+'Reporte a FCCF'!$B$20</f>
        <v>0</v>
      </c>
      <c r="H37">
        <f>+'Reporte a FCCF'!$C$20</f>
        <v>0</v>
      </c>
      <c r="I37">
        <f>+'Reporte a FCCF'!T20</f>
        <v>0</v>
      </c>
      <c r="J37">
        <f>+'Reporte a FCCF'!U20</f>
        <v>0</v>
      </c>
      <c r="K37">
        <f>+'Reporte a FCCF'!V20</f>
        <v>0</v>
      </c>
      <c r="L37">
        <f>+'Reporte a FCCF'!W20</f>
        <v>0</v>
      </c>
      <c r="M37">
        <f>+'Reporte a FCCF'!X20</f>
        <v>0</v>
      </c>
      <c r="N37">
        <f>+'Reporte a FCCF'!Y20</f>
        <v>0</v>
      </c>
      <c r="O37">
        <f>+'Reporte a FCCF'!Z20</f>
        <v>0</v>
      </c>
      <c r="P37">
        <f>+'Reporte a FCCF'!AA20</f>
        <v>0</v>
      </c>
    </row>
    <row r="38" spans="1:16">
      <c r="A38" t="str">
        <f>+'Reporte a FCCF'!$I$4</f>
        <v>Primera A</v>
      </c>
      <c r="B38" t="str">
        <f>+'Reporte a FCCF'!$I$2</f>
        <v>Apertura 2026</v>
      </c>
      <c r="C38" s="12">
        <f>+'Reporte a FCCF'!$Q$2</f>
        <v>0</v>
      </c>
      <c r="D38" t="str">
        <f>+'Reporte a FCCF'!$C$2</f>
        <v>Vélez</v>
      </c>
      <c r="E38" t="str">
        <f>+'Reporte a FCCF'!$C$4</f>
        <v>Avellaneda</v>
      </c>
      <c r="F38" t="s">
        <v>12</v>
      </c>
      <c r="G38">
        <f>+'Reporte a FCCF'!$B$9</f>
        <v>1</v>
      </c>
      <c r="H38" t="str">
        <f>+'Reporte a FCCF'!$C$9</f>
        <v>LUCIA COSTA</v>
      </c>
      <c r="I38">
        <f>+'Reporte a FCCF'!AB9</f>
        <v>0</v>
      </c>
      <c r="J38">
        <f>+'Reporte a FCCF'!AC9</f>
        <v>0</v>
      </c>
      <c r="K38">
        <f>+'Reporte a FCCF'!AD9</f>
        <v>0</v>
      </c>
      <c r="L38">
        <f>+'Reporte a FCCF'!AE9</f>
        <v>0</v>
      </c>
      <c r="M38">
        <f>+'Reporte a FCCF'!AF9</f>
        <v>0</v>
      </c>
      <c r="N38">
        <f>+'Reporte a FCCF'!AG9</f>
        <v>0</v>
      </c>
      <c r="O38">
        <f>+'Reporte a FCCF'!AH9</f>
        <v>0</v>
      </c>
      <c r="P38">
        <f>+'Reporte a FCCF'!AI9</f>
        <v>0</v>
      </c>
    </row>
    <row r="39" spans="1:16">
      <c r="A39" t="str">
        <f>+'Reporte a FCCF'!$I$4</f>
        <v>Primera A</v>
      </c>
      <c r="B39" t="str">
        <f>+'Reporte a FCCF'!$I$2</f>
        <v>Apertura 2026</v>
      </c>
      <c r="C39" s="12">
        <f>+'Reporte a FCCF'!$Q$2</f>
        <v>0</v>
      </c>
      <c r="D39" t="str">
        <f>+'Reporte a FCCF'!$C$2</f>
        <v>Vélez</v>
      </c>
      <c r="E39" t="str">
        <f>+'Reporte a FCCF'!$C$4</f>
        <v>Avellaneda</v>
      </c>
      <c r="F39" t="s">
        <v>12</v>
      </c>
      <c r="G39">
        <f>+'Reporte a FCCF'!$B$10</f>
        <v>5</v>
      </c>
      <c r="H39" t="str">
        <f>+'Reporte a FCCF'!$C$10</f>
        <v>MARIELA ELIAS</v>
      </c>
      <c r="I39">
        <f>+'Reporte a FCCF'!AB10</f>
        <v>0</v>
      </c>
      <c r="J39">
        <f>+'Reporte a FCCF'!AC10</f>
        <v>0</v>
      </c>
      <c r="K39">
        <f>+'Reporte a FCCF'!AD10</f>
        <v>0</v>
      </c>
      <c r="L39">
        <f>+'Reporte a FCCF'!AE10</f>
        <v>0</v>
      </c>
      <c r="M39">
        <f>+'Reporte a FCCF'!AF10</f>
        <v>0</v>
      </c>
      <c r="N39">
        <f>+'Reporte a FCCF'!AG10</f>
        <v>0</v>
      </c>
      <c r="O39">
        <f>+'Reporte a FCCF'!AH10</f>
        <v>0</v>
      </c>
      <c r="P39">
        <f>+'Reporte a FCCF'!AI10</f>
        <v>0</v>
      </c>
    </row>
    <row r="40" spans="1:16">
      <c r="A40" t="str">
        <f>+'Reporte a FCCF'!$I$4</f>
        <v>Primera A</v>
      </c>
      <c r="B40" t="str">
        <f>+'Reporte a FCCF'!$I$2</f>
        <v>Apertura 2026</v>
      </c>
      <c r="C40" s="12">
        <f>+'Reporte a FCCF'!$Q$2</f>
        <v>0</v>
      </c>
      <c r="D40" t="str">
        <f>+'Reporte a FCCF'!$C$2</f>
        <v>Vélez</v>
      </c>
      <c r="E40" t="str">
        <f>+'Reporte a FCCF'!$C$4</f>
        <v>Avellaneda</v>
      </c>
      <c r="F40" t="s">
        <v>12</v>
      </c>
      <c r="G40">
        <f>+'Reporte a FCCF'!$B$11</f>
        <v>6</v>
      </c>
      <c r="H40" t="str">
        <f>+'Reporte a FCCF'!$C$11</f>
        <v>MALENA ZUCCARINO</v>
      </c>
      <c r="I40">
        <f>+'Reporte a FCCF'!AB11</f>
        <v>0</v>
      </c>
      <c r="J40">
        <f>+'Reporte a FCCF'!AC11</f>
        <v>0</v>
      </c>
      <c r="K40">
        <f>+'Reporte a FCCF'!AD11</f>
        <v>0</v>
      </c>
      <c r="L40">
        <f>+'Reporte a FCCF'!AE11</f>
        <v>0</v>
      </c>
      <c r="M40">
        <f>+'Reporte a FCCF'!AF11</f>
        <v>0</v>
      </c>
      <c r="N40">
        <f>+'Reporte a FCCF'!AG11</f>
        <v>0</v>
      </c>
      <c r="O40">
        <f>+'Reporte a FCCF'!AH11</f>
        <v>0</v>
      </c>
      <c r="P40">
        <f>+'Reporte a FCCF'!AI11</f>
        <v>0</v>
      </c>
    </row>
    <row r="41" spans="1:16">
      <c r="A41" t="str">
        <f>+'Reporte a FCCF'!$I$4</f>
        <v>Primera A</v>
      </c>
      <c r="B41" t="str">
        <f>+'Reporte a FCCF'!$I$2</f>
        <v>Apertura 2026</v>
      </c>
      <c r="C41" s="12">
        <f>+'Reporte a FCCF'!$Q$2</f>
        <v>0</v>
      </c>
      <c r="D41" t="str">
        <f>+'Reporte a FCCF'!$C$2</f>
        <v>Vélez</v>
      </c>
      <c r="E41" t="str">
        <f>+'Reporte a FCCF'!$C$4</f>
        <v>Avellaneda</v>
      </c>
      <c r="F41" t="s">
        <v>12</v>
      </c>
      <c r="G41">
        <f>+'Reporte a FCCF'!$B$12</f>
        <v>7</v>
      </c>
      <c r="H41" t="str">
        <f>+'Reporte a FCCF'!$C$12</f>
        <v>JIMENA GARCIA</v>
      </c>
      <c r="I41">
        <f>+'Reporte a FCCF'!AB12</f>
        <v>0</v>
      </c>
      <c r="J41">
        <f>+'Reporte a FCCF'!AC12</f>
        <v>0</v>
      </c>
      <c r="K41">
        <f>+'Reporte a FCCF'!AD12</f>
        <v>0</v>
      </c>
      <c r="L41">
        <f>+'Reporte a FCCF'!AE12</f>
        <v>0</v>
      </c>
      <c r="M41">
        <f>+'Reporte a FCCF'!AF12</f>
        <v>0</v>
      </c>
      <c r="N41">
        <f>+'Reporte a FCCF'!AG12</f>
        <v>0</v>
      </c>
      <c r="O41">
        <f>+'Reporte a FCCF'!AH12</f>
        <v>0</v>
      </c>
      <c r="P41">
        <f>+'Reporte a FCCF'!AI12</f>
        <v>0</v>
      </c>
    </row>
    <row r="42" spans="1:16">
      <c r="A42" t="str">
        <f>+'Reporte a FCCF'!$I$4</f>
        <v>Primera A</v>
      </c>
      <c r="B42" t="str">
        <f>+'Reporte a FCCF'!$I$2</f>
        <v>Apertura 2026</v>
      </c>
      <c r="C42" s="12">
        <f>+'Reporte a FCCF'!$Q$2</f>
        <v>0</v>
      </c>
      <c r="D42" t="str">
        <f>+'Reporte a FCCF'!$C$2</f>
        <v>Vélez</v>
      </c>
      <c r="E42" t="str">
        <f>+'Reporte a FCCF'!$C$4</f>
        <v>Avellaneda</v>
      </c>
      <c r="F42" t="s">
        <v>12</v>
      </c>
      <c r="G42">
        <f>+'Reporte a FCCF'!$B$13</f>
        <v>8</v>
      </c>
      <c r="H42" t="str">
        <f>+'Reporte a FCCF'!$C$13</f>
        <v>SOFIA NAÓN</v>
      </c>
      <c r="I42">
        <f>+'Reporte a FCCF'!AB13</f>
        <v>0</v>
      </c>
      <c r="J42">
        <f>+'Reporte a FCCF'!AC13</f>
        <v>0</v>
      </c>
      <c r="K42">
        <f>+'Reporte a FCCF'!AD13</f>
        <v>0</v>
      </c>
      <c r="L42">
        <f>+'Reporte a FCCF'!AE13</f>
        <v>0</v>
      </c>
      <c r="M42">
        <f>+'Reporte a FCCF'!AF13</f>
        <v>0</v>
      </c>
      <c r="N42">
        <f>+'Reporte a FCCF'!AG13</f>
        <v>0</v>
      </c>
      <c r="O42">
        <f>+'Reporte a FCCF'!AH13</f>
        <v>0</v>
      </c>
      <c r="P42">
        <f>+'Reporte a FCCF'!AI13</f>
        <v>0</v>
      </c>
    </row>
    <row r="43" spans="1:16">
      <c r="A43" t="str">
        <f>+'Reporte a FCCF'!$I$4</f>
        <v>Primera A</v>
      </c>
      <c r="B43" t="str">
        <f>+'Reporte a FCCF'!$I$2</f>
        <v>Apertura 2026</v>
      </c>
      <c r="C43" s="12">
        <f>+'Reporte a FCCF'!$Q$2</f>
        <v>0</v>
      </c>
      <c r="D43" t="str">
        <f>+'Reporte a FCCF'!$C$2</f>
        <v>Vélez</v>
      </c>
      <c r="E43" t="str">
        <f>+'Reporte a FCCF'!$C$4</f>
        <v>Avellaneda</v>
      </c>
      <c r="F43" t="s">
        <v>12</v>
      </c>
      <c r="G43">
        <f>+'Reporte a FCCF'!$B$14</f>
        <v>9</v>
      </c>
      <c r="H43" t="str">
        <f>+'Reporte a FCCF'!$C$14</f>
        <v>VICTORIA FONTAN</v>
      </c>
      <c r="I43">
        <f>+'Reporte a FCCF'!AB14</f>
        <v>0</v>
      </c>
      <c r="J43">
        <f>+'Reporte a FCCF'!AC14</f>
        <v>0</v>
      </c>
      <c r="K43">
        <f>+'Reporte a FCCF'!AD14</f>
        <v>0</v>
      </c>
      <c r="L43">
        <f>+'Reporte a FCCF'!AE14</f>
        <v>0</v>
      </c>
      <c r="M43">
        <f>+'Reporte a FCCF'!AF14</f>
        <v>0</v>
      </c>
      <c r="N43">
        <f>+'Reporte a FCCF'!AG14</f>
        <v>0</v>
      </c>
      <c r="O43">
        <f>+'Reporte a FCCF'!AH14</f>
        <v>0</v>
      </c>
      <c r="P43">
        <f>+'Reporte a FCCF'!AI14</f>
        <v>0</v>
      </c>
    </row>
    <row r="44" spans="1:16">
      <c r="A44" t="str">
        <f>+'Reporte a FCCF'!$I$4</f>
        <v>Primera A</v>
      </c>
      <c r="B44" t="str">
        <f>+'Reporte a FCCF'!$I$2</f>
        <v>Apertura 2026</v>
      </c>
      <c r="C44" s="12">
        <f>+'Reporte a FCCF'!$Q$2</f>
        <v>0</v>
      </c>
      <c r="D44" t="str">
        <f>+'Reporte a FCCF'!$C$2</f>
        <v>Vélez</v>
      </c>
      <c r="E44" t="str">
        <f>+'Reporte a FCCF'!$C$4</f>
        <v>Avellaneda</v>
      </c>
      <c r="F44" t="s">
        <v>12</v>
      </c>
      <c r="G44">
        <f>+'Reporte a FCCF'!$B$15</f>
        <v>10</v>
      </c>
      <c r="H44" t="str">
        <f>+'Reporte a FCCF'!$C$15</f>
        <v>ZAHIRA HERRERA</v>
      </c>
      <c r="I44">
        <f>+'Reporte a FCCF'!AB15</f>
        <v>0</v>
      </c>
      <c r="J44">
        <f>+'Reporte a FCCF'!AC15</f>
        <v>0</v>
      </c>
      <c r="K44">
        <f>+'Reporte a FCCF'!AD15</f>
        <v>0</v>
      </c>
      <c r="L44">
        <f>+'Reporte a FCCF'!AE15</f>
        <v>0</v>
      </c>
      <c r="M44">
        <f>+'Reporte a FCCF'!AF15</f>
        <v>0</v>
      </c>
      <c r="N44">
        <f>+'Reporte a FCCF'!AG15</f>
        <v>0</v>
      </c>
      <c r="O44">
        <f>+'Reporte a FCCF'!AH15</f>
        <v>0</v>
      </c>
      <c r="P44">
        <f>+'Reporte a FCCF'!AI15</f>
        <v>0</v>
      </c>
    </row>
    <row r="45" spans="1:16">
      <c r="A45" t="str">
        <f>+'Reporte a FCCF'!$I$4</f>
        <v>Primera A</v>
      </c>
      <c r="B45" t="str">
        <f>+'Reporte a FCCF'!$I$2</f>
        <v>Apertura 2026</v>
      </c>
      <c r="C45" s="12">
        <f>+'Reporte a FCCF'!$Q$2</f>
        <v>0</v>
      </c>
      <c r="D45" t="str">
        <f>+'Reporte a FCCF'!$C$2</f>
        <v>Vélez</v>
      </c>
      <c r="E45" t="str">
        <f>+'Reporte a FCCF'!$C$4</f>
        <v>Avellaneda</v>
      </c>
      <c r="F45" t="s">
        <v>12</v>
      </c>
      <c r="G45">
        <f>+'Reporte a FCCF'!$B$16</f>
        <v>11</v>
      </c>
      <c r="H45" t="str">
        <f>+'Reporte a FCCF'!$C$16</f>
        <v>LUCILA GRANATELLI</v>
      </c>
      <c r="I45">
        <f>+'Reporte a FCCF'!AB16</f>
        <v>0</v>
      </c>
      <c r="J45">
        <f>+'Reporte a FCCF'!AC16</f>
        <v>0</v>
      </c>
      <c r="K45">
        <f>+'Reporte a FCCF'!AD16</f>
        <v>0</v>
      </c>
      <c r="L45">
        <f>+'Reporte a FCCF'!AE16</f>
        <v>0</v>
      </c>
      <c r="M45">
        <f>+'Reporte a FCCF'!AF16</f>
        <v>0</v>
      </c>
      <c r="N45">
        <f>+'Reporte a FCCF'!AG16</f>
        <v>0</v>
      </c>
      <c r="O45">
        <f>+'Reporte a FCCF'!AH16</f>
        <v>0</v>
      </c>
      <c r="P45">
        <f>+'Reporte a FCCF'!AI16</f>
        <v>0</v>
      </c>
    </row>
    <row r="46" spans="1:16">
      <c r="A46" t="str">
        <f>+'Reporte a FCCF'!$I$4</f>
        <v>Primera A</v>
      </c>
      <c r="B46" t="str">
        <f>+'Reporte a FCCF'!$I$2</f>
        <v>Apertura 2026</v>
      </c>
      <c r="C46" s="12">
        <f>+'Reporte a FCCF'!$Q$2</f>
        <v>0</v>
      </c>
      <c r="D46" t="str">
        <f>+'Reporte a FCCF'!$C$2</f>
        <v>Vélez</v>
      </c>
      <c r="E46" t="str">
        <f>+'Reporte a FCCF'!$C$4</f>
        <v>Avellaneda</v>
      </c>
      <c r="F46" t="s">
        <v>12</v>
      </c>
      <c r="G46">
        <f>+'Reporte a FCCF'!$B$17</f>
        <v>12</v>
      </c>
      <c r="H46" t="str">
        <f>+'Reporte a FCCF'!$C$17</f>
        <v>MARIA PAZ GOMEZ</v>
      </c>
      <c r="I46">
        <f>+'Reporte a FCCF'!AB17</f>
        <v>0</v>
      </c>
      <c r="J46">
        <f>+'Reporte a FCCF'!AC17</f>
        <v>0</v>
      </c>
      <c r="K46">
        <f>+'Reporte a FCCF'!AD17</f>
        <v>0</v>
      </c>
      <c r="L46">
        <f>+'Reporte a FCCF'!AE17</f>
        <v>0</v>
      </c>
      <c r="M46">
        <f>+'Reporte a FCCF'!AF17</f>
        <v>0</v>
      </c>
      <c r="N46">
        <f>+'Reporte a FCCF'!AG17</f>
        <v>0</v>
      </c>
      <c r="O46">
        <f>+'Reporte a FCCF'!AH17</f>
        <v>0</v>
      </c>
      <c r="P46">
        <f>+'Reporte a FCCF'!AI17</f>
        <v>0</v>
      </c>
    </row>
    <row r="47" spans="1:16">
      <c r="A47" t="str">
        <f>+'Reporte a FCCF'!$I$4</f>
        <v>Primera A</v>
      </c>
      <c r="B47" t="str">
        <f>+'Reporte a FCCF'!$I$2</f>
        <v>Apertura 2026</v>
      </c>
      <c r="C47" s="12">
        <f>+'Reporte a FCCF'!$Q$2</f>
        <v>0</v>
      </c>
      <c r="D47" t="str">
        <f>+'Reporte a FCCF'!$C$2</f>
        <v>Vélez</v>
      </c>
      <c r="E47" t="str">
        <f>+'Reporte a FCCF'!$C$4</f>
        <v>Avellaneda</v>
      </c>
      <c r="F47" t="s">
        <v>12</v>
      </c>
      <c r="G47">
        <f>+'Reporte a FCCF'!$B$18</f>
        <v>14</v>
      </c>
      <c r="H47" t="str">
        <f>+'Reporte a FCCF'!$C$18</f>
        <v>LUCIANA BRINGAS</v>
      </c>
      <c r="I47">
        <f>+'Reporte a FCCF'!AB18</f>
        <v>0</v>
      </c>
      <c r="J47">
        <f>+'Reporte a FCCF'!AC18</f>
        <v>0</v>
      </c>
      <c r="K47">
        <f>+'Reporte a FCCF'!AD18</f>
        <v>0</v>
      </c>
      <c r="L47">
        <f>+'Reporte a FCCF'!AE18</f>
        <v>0</v>
      </c>
      <c r="M47">
        <f>+'Reporte a FCCF'!AF18</f>
        <v>0</v>
      </c>
      <c r="N47">
        <f>+'Reporte a FCCF'!AG18</f>
        <v>0</v>
      </c>
      <c r="O47">
        <f>+'Reporte a FCCF'!AH18</f>
        <v>0</v>
      </c>
      <c r="P47">
        <f>+'Reporte a FCCF'!AI18</f>
        <v>0</v>
      </c>
    </row>
    <row r="48" spans="1:16">
      <c r="A48" t="str">
        <f>+'Reporte a FCCF'!$I$4</f>
        <v>Primera A</v>
      </c>
      <c r="B48" t="str">
        <f>+'Reporte a FCCF'!$I$2</f>
        <v>Apertura 2026</v>
      </c>
      <c r="C48" s="12">
        <f>+'Reporte a FCCF'!$Q$2</f>
        <v>0</v>
      </c>
      <c r="D48" t="str">
        <f>+'Reporte a FCCF'!$C$2</f>
        <v>Vélez</v>
      </c>
      <c r="E48" t="str">
        <f>+'Reporte a FCCF'!$C$4</f>
        <v>Avellaneda</v>
      </c>
      <c r="F48" t="s">
        <v>12</v>
      </c>
      <c r="G48">
        <f>+'Reporte a FCCF'!$B$19</f>
        <v>15</v>
      </c>
      <c r="H48" t="str">
        <f>+'Reporte a FCCF'!$C$19</f>
        <v>CANDELA THIM</v>
      </c>
      <c r="I48">
        <f>+'Reporte a FCCF'!AB19</f>
        <v>0</v>
      </c>
      <c r="J48">
        <f>+'Reporte a FCCF'!AC19</f>
        <v>0</v>
      </c>
      <c r="K48">
        <f>+'Reporte a FCCF'!AD19</f>
        <v>0</v>
      </c>
      <c r="L48">
        <f>+'Reporte a FCCF'!AE19</f>
        <v>0</v>
      </c>
      <c r="M48">
        <f>+'Reporte a FCCF'!AF19</f>
        <v>0</v>
      </c>
      <c r="N48">
        <f>+'Reporte a FCCF'!AG19</f>
        <v>0</v>
      </c>
      <c r="O48">
        <f>+'Reporte a FCCF'!AH19</f>
        <v>0</v>
      </c>
      <c r="P48">
        <f>+'Reporte a FCCF'!AI19</f>
        <v>0</v>
      </c>
    </row>
    <row r="49" spans="1:16">
      <c r="A49" t="str">
        <f>+'Reporte a FCCF'!$I$4</f>
        <v>Primera A</v>
      </c>
      <c r="B49" t="str">
        <f>+'Reporte a FCCF'!$I$2</f>
        <v>Apertura 2026</v>
      </c>
      <c r="C49" s="12">
        <f>+'Reporte a FCCF'!$Q$2</f>
        <v>0</v>
      </c>
      <c r="D49" t="str">
        <f>+'Reporte a FCCF'!$C$2</f>
        <v>Vélez</v>
      </c>
      <c r="E49" t="str">
        <f>+'Reporte a FCCF'!$C$4</f>
        <v>Avellaneda</v>
      </c>
      <c r="F49" t="s">
        <v>12</v>
      </c>
      <c r="G49">
        <f>+'Reporte a FCCF'!$B$20</f>
        <v>0</v>
      </c>
      <c r="H49">
        <f>+'Reporte a FCCF'!$C$20</f>
        <v>0</v>
      </c>
      <c r="I49">
        <f>+'Reporte a FCCF'!AB20</f>
        <v>0</v>
      </c>
      <c r="J49">
        <f>+'Reporte a FCCF'!AC20</f>
        <v>0</v>
      </c>
      <c r="K49">
        <f>+'Reporte a FCCF'!AD20</f>
        <v>0</v>
      </c>
      <c r="L49">
        <f>+'Reporte a FCCF'!AE20</f>
        <v>0</v>
      </c>
      <c r="M49">
        <f>+'Reporte a FCCF'!AF20</f>
        <v>0</v>
      </c>
      <c r="N49">
        <f>+'Reporte a FCCF'!AG20</f>
        <v>0</v>
      </c>
      <c r="O49">
        <f>+'Reporte a FCCF'!AH20</f>
        <v>0</v>
      </c>
      <c r="P49">
        <f>+'Reporte a FCCF'!AI20</f>
        <v>0</v>
      </c>
    </row>
  </sheetData>
  <sheetProtection algorithmName="SHA-512" hashValue="tA17w0k+YvHyPXxLWzy6qRRDMCRhcPh9uJX6/XEnMFeIf9y3+atTF2v5moNRluH/IC2h94Za69xDtyttC2RUig==" saltValue="utg5HepvII5pUAKZkoYI+g==" spinCount="100000" sheet="1" objects="1" scenarios="1"/>
  <pageMargins left="0.7" right="0.7" top="0.75" bottom="0.75" header="0.3" footer="0.3"/>
  <headerFooter>
    <oddFooter>&amp;L_x000D_&amp;1#&amp;"Aptos"&amp;7&amp;K000000 ***Este documento está clasificado como USO INTERNO por MOVISTAR. ***This document is classified as INTERNAL USE by MOVISTAR.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8F239-A587-4BE7-8D61-A7A5DF69584A}">
  <dimension ref="B2:AQ24"/>
  <sheetViews>
    <sheetView workbookViewId="0"/>
  </sheetViews>
  <sheetFormatPr defaultColWidth="11.42578125" defaultRowHeight="14.45"/>
  <cols>
    <col min="1" max="1" width="2" customWidth="1"/>
    <col min="2" max="2" width="6.7109375" customWidth="1"/>
    <col min="3" max="3" width="18.7109375" customWidth="1"/>
    <col min="4" max="35" width="6.7109375" customWidth="1"/>
    <col min="36" max="43" width="8.7109375" customWidth="1"/>
  </cols>
  <sheetData>
    <row r="2" spans="2:43">
      <c r="B2" s="13" t="s">
        <v>0</v>
      </c>
      <c r="C2" s="72" t="str">
        <f>+'Reporte a FCCF'!C2</f>
        <v>Vélez</v>
      </c>
      <c r="D2" s="72"/>
      <c r="E2" s="73"/>
      <c r="F2" s="7"/>
      <c r="G2" s="45" t="s">
        <v>2</v>
      </c>
      <c r="H2" s="46"/>
      <c r="I2" s="72" t="str">
        <f>+'Reporte a FCCF'!I2</f>
        <v>Apertura 2026</v>
      </c>
      <c r="J2" s="72"/>
      <c r="K2" s="72"/>
      <c r="L2" s="72"/>
      <c r="M2" s="72"/>
      <c r="N2" s="73"/>
      <c r="O2" s="7"/>
      <c r="P2" s="13" t="s">
        <v>4</v>
      </c>
      <c r="Q2" s="74">
        <f>+'Reporte a FCCF'!Q2</f>
        <v>0</v>
      </c>
      <c r="R2" s="74"/>
      <c r="S2" s="75"/>
    </row>
    <row r="3" spans="2:43" ht="7.5" customHeight="1"/>
    <row r="4" spans="2:43">
      <c r="B4" s="13" t="s">
        <v>5</v>
      </c>
      <c r="C4" s="72" t="str">
        <f>+'Reporte a FCCF'!C4</f>
        <v>Avellaneda</v>
      </c>
      <c r="D4" s="72"/>
      <c r="E4" s="73"/>
      <c r="G4" s="45" t="s">
        <v>7</v>
      </c>
      <c r="H4" s="46"/>
      <c r="I4" s="72" t="str">
        <f>+'Reporte a FCCF'!I4</f>
        <v>Primera A</v>
      </c>
      <c r="J4" s="72"/>
      <c r="K4" s="72"/>
      <c r="L4" s="72"/>
      <c r="M4" s="72"/>
      <c r="N4" s="73"/>
    </row>
    <row r="5" spans="2:43" ht="15" customHeight="1" thickBot="1"/>
    <row r="6" spans="2:43" ht="15" thickBot="1">
      <c r="D6" s="48" t="s">
        <v>9</v>
      </c>
      <c r="E6" s="49"/>
      <c r="F6" s="49"/>
      <c r="G6" s="49"/>
      <c r="H6" s="49"/>
      <c r="I6" s="49"/>
      <c r="J6" s="49"/>
      <c r="K6" s="50"/>
      <c r="L6" s="55" t="s">
        <v>10</v>
      </c>
      <c r="M6" s="56"/>
      <c r="N6" s="56"/>
      <c r="O6" s="56"/>
      <c r="P6" s="56"/>
      <c r="Q6" s="56"/>
      <c r="R6" s="56"/>
      <c r="S6" s="57"/>
      <c r="T6" s="48" t="s">
        <v>11</v>
      </c>
      <c r="U6" s="49"/>
      <c r="V6" s="49"/>
      <c r="W6" s="49"/>
      <c r="X6" s="49"/>
      <c r="Y6" s="49"/>
      <c r="Z6" s="49"/>
      <c r="AA6" s="50"/>
      <c r="AB6" s="55" t="s">
        <v>12</v>
      </c>
      <c r="AC6" s="56"/>
      <c r="AD6" s="56"/>
      <c r="AE6" s="56"/>
      <c r="AF6" s="56"/>
      <c r="AG6" s="56"/>
      <c r="AH6" s="56"/>
      <c r="AI6" s="57"/>
      <c r="AJ6" s="58" t="s">
        <v>13</v>
      </c>
      <c r="AK6" s="59"/>
      <c r="AL6" s="59"/>
      <c r="AM6" s="59"/>
      <c r="AN6" s="59"/>
      <c r="AO6" s="59"/>
      <c r="AP6" s="59"/>
      <c r="AQ6" s="60"/>
    </row>
    <row r="7" spans="2:43" ht="15" customHeight="1">
      <c r="B7" s="68" t="s">
        <v>14</v>
      </c>
      <c r="C7" s="70" t="s">
        <v>15</v>
      </c>
      <c r="D7" s="66" t="s">
        <v>16</v>
      </c>
      <c r="E7" s="67" t="s">
        <v>17</v>
      </c>
      <c r="F7" s="67"/>
      <c r="G7" s="67" t="s">
        <v>18</v>
      </c>
      <c r="H7" s="67"/>
      <c r="I7" s="47" t="s">
        <v>19</v>
      </c>
      <c r="J7" s="47" t="s">
        <v>20</v>
      </c>
      <c r="K7" s="51" t="s">
        <v>21</v>
      </c>
      <c r="L7" s="52" t="s">
        <v>16</v>
      </c>
      <c r="M7" s="53" t="s">
        <v>17</v>
      </c>
      <c r="N7" s="53"/>
      <c r="O7" s="53" t="s">
        <v>18</v>
      </c>
      <c r="P7" s="53"/>
      <c r="Q7" s="62" t="s">
        <v>19</v>
      </c>
      <c r="R7" s="62" t="s">
        <v>20</v>
      </c>
      <c r="S7" s="63" t="s">
        <v>21</v>
      </c>
      <c r="T7" s="66" t="s">
        <v>16</v>
      </c>
      <c r="U7" s="67" t="s">
        <v>17</v>
      </c>
      <c r="V7" s="67"/>
      <c r="W7" s="67" t="s">
        <v>18</v>
      </c>
      <c r="X7" s="67"/>
      <c r="Y7" s="47" t="s">
        <v>19</v>
      </c>
      <c r="Z7" s="47" t="s">
        <v>20</v>
      </c>
      <c r="AA7" s="51" t="s">
        <v>21</v>
      </c>
      <c r="AB7" s="52" t="s">
        <v>16</v>
      </c>
      <c r="AC7" s="53" t="s">
        <v>17</v>
      </c>
      <c r="AD7" s="53"/>
      <c r="AE7" s="53" t="s">
        <v>18</v>
      </c>
      <c r="AF7" s="53"/>
      <c r="AG7" s="62" t="s">
        <v>19</v>
      </c>
      <c r="AH7" s="62" t="s">
        <v>20</v>
      </c>
      <c r="AI7" s="63" t="s">
        <v>21</v>
      </c>
      <c r="AJ7" s="64" t="s">
        <v>16</v>
      </c>
      <c r="AK7" s="65" t="s">
        <v>17</v>
      </c>
      <c r="AL7" s="65"/>
      <c r="AM7" s="65" t="s">
        <v>18</v>
      </c>
      <c r="AN7" s="65"/>
      <c r="AO7" s="61" t="s">
        <v>22</v>
      </c>
      <c r="AP7" s="61" t="s">
        <v>23</v>
      </c>
      <c r="AQ7" s="54" t="s">
        <v>21</v>
      </c>
    </row>
    <row r="8" spans="2:43">
      <c r="B8" s="69"/>
      <c r="C8" s="71"/>
      <c r="D8" s="66"/>
      <c r="E8" s="1" t="s">
        <v>24</v>
      </c>
      <c r="F8" s="1" t="s">
        <v>25</v>
      </c>
      <c r="G8" s="36" t="s">
        <v>26</v>
      </c>
      <c r="H8" s="36" t="s">
        <v>27</v>
      </c>
      <c r="I8" s="47"/>
      <c r="J8" s="47"/>
      <c r="K8" s="51"/>
      <c r="L8" s="52"/>
      <c r="M8" s="2" t="s">
        <v>24</v>
      </c>
      <c r="N8" s="2" t="s">
        <v>25</v>
      </c>
      <c r="O8" s="37" t="s">
        <v>26</v>
      </c>
      <c r="P8" s="37" t="s">
        <v>27</v>
      </c>
      <c r="Q8" s="62"/>
      <c r="R8" s="62"/>
      <c r="S8" s="63"/>
      <c r="T8" s="66"/>
      <c r="U8" s="1" t="s">
        <v>24</v>
      </c>
      <c r="V8" s="1" t="s">
        <v>25</v>
      </c>
      <c r="W8" s="36" t="s">
        <v>26</v>
      </c>
      <c r="X8" s="36" t="s">
        <v>27</v>
      </c>
      <c r="Y8" s="47"/>
      <c r="Z8" s="47"/>
      <c r="AA8" s="51"/>
      <c r="AB8" s="52"/>
      <c r="AC8" s="2" t="s">
        <v>24</v>
      </c>
      <c r="AD8" s="2" t="s">
        <v>25</v>
      </c>
      <c r="AE8" s="37" t="s">
        <v>26</v>
      </c>
      <c r="AF8" s="37" t="s">
        <v>27</v>
      </c>
      <c r="AG8" s="62"/>
      <c r="AH8" s="62"/>
      <c r="AI8" s="63"/>
      <c r="AJ8" s="64"/>
      <c r="AK8" s="3" t="s">
        <v>24</v>
      </c>
      <c r="AL8" s="3" t="s">
        <v>25</v>
      </c>
      <c r="AM8" s="38" t="s">
        <v>28</v>
      </c>
      <c r="AN8" s="38" t="s">
        <v>29</v>
      </c>
      <c r="AO8" s="61"/>
      <c r="AP8" s="61"/>
      <c r="AQ8" s="54"/>
    </row>
    <row r="9" spans="2:43" ht="30" customHeight="1">
      <c r="B9" s="28">
        <f>+'Reporte a FCCF'!B9</f>
        <v>1</v>
      </c>
      <c r="C9" s="29" t="str">
        <f>+'Reporte a FCCF'!C9</f>
        <v>LUCIA COSTA</v>
      </c>
      <c r="D9" s="28">
        <f>+'Reporte a FCCF'!D9</f>
        <v>4</v>
      </c>
      <c r="E9" s="30">
        <f>+'Reporte a FCCF'!E9</f>
        <v>1</v>
      </c>
      <c r="F9" s="30">
        <f>+'Reporte a FCCF'!F9</f>
        <v>0</v>
      </c>
      <c r="G9" s="30">
        <f>+'Reporte a FCCF'!G9</f>
        <v>2</v>
      </c>
      <c r="H9" s="30">
        <f>+'Reporte a FCCF'!H9</f>
        <v>1</v>
      </c>
      <c r="I9" s="30">
        <f>+'Reporte a FCCF'!I9</f>
        <v>0</v>
      </c>
      <c r="J9" s="30">
        <f>+'Reporte a FCCF'!J9</f>
        <v>2</v>
      </c>
      <c r="K9" s="31">
        <f>+'Reporte a FCCF'!K9</f>
        <v>1</v>
      </c>
      <c r="L9" s="28">
        <f>+'Reporte a FCCF'!L9</f>
        <v>0</v>
      </c>
      <c r="M9" s="30">
        <f>+'Reporte a FCCF'!M9</f>
        <v>0</v>
      </c>
      <c r="N9" s="30">
        <f>+'Reporte a FCCF'!N9</f>
        <v>0</v>
      </c>
      <c r="O9" s="30">
        <f>+'Reporte a FCCF'!O9</f>
        <v>1</v>
      </c>
      <c r="P9" s="30">
        <f>+'Reporte a FCCF'!P9</f>
        <v>0</v>
      </c>
      <c r="Q9" s="30">
        <f>+'Reporte a FCCF'!Q9</f>
        <v>0</v>
      </c>
      <c r="R9" s="30">
        <f>+'Reporte a FCCF'!R9</f>
        <v>1</v>
      </c>
      <c r="S9" s="31">
        <f>+'Reporte a FCCF'!S9</f>
        <v>5</v>
      </c>
      <c r="T9" s="28">
        <f>+'Reporte a FCCF'!T9</f>
        <v>0</v>
      </c>
      <c r="U9" s="30">
        <f>+'Reporte a FCCF'!U9</f>
        <v>0</v>
      </c>
      <c r="V9" s="30">
        <f>+'Reporte a FCCF'!V9</f>
        <v>0</v>
      </c>
      <c r="W9" s="30">
        <f>+'Reporte a FCCF'!W9</f>
        <v>0</v>
      </c>
      <c r="X9" s="30">
        <f>+'Reporte a FCCF'!X9</f>
        <v>0</v>
      </c>
      <c r="Y9" s="30">
        <f>+'Reporte a FCCF'!Y9</f>
        <v>0</v>
      </c>
      <c r="Z9" s="30">
        <f>+'Reporte a FCCF'!Z9</f>
        <v>0</v>
      </c>
      <c r="AA9" s="31">
        <f>+'Reporte a FCCF'!AA9</f>
        <v>0</v>
      </c>
      <c r="AB9" s="28">
        <f>+'Reporte a FCCF'!AB9</f>
        <v>0</v>
      </c>
      <c r="AC9" s="30">
        <f>+'Reporte a FCCF'!AC9</f>
        <v>0</v>
      </c>
      <c r="AD9" s="30">
        <f>+'Reporte a FCCF'!AD9</f>
        <v>0</v>
      </c>
      <c r="AE9" s="30">
        <f>+'Reporte a FCCF'!AE9</f>
        <v>0</v>
      </c>
      <c r="AF9" s="30">
        <f>+'Reporte a FCCF'!AF9</f>
        <v>0</v>
      </c>
      <c r="AG9" s="30">
        <f>+'Reporte a FCCF'!AG9</f>
        <v>0</v>
      </c>
      <c r="AH9" s="30">
        <f>+'Reporte a FCCF'!AH9</f>
        <v>0</v>
      </c>
      <c r="AI9" s="31">
        <f>+'Reporte a FCCF'!AI9</f>
        <v>0</v>
      </c>
      <c r="AJ9" s="8">
        <f t="shared" ref="AJ9:AQ20" si="0">+D9+L9+T9+AB9</f>
        <v>4</v>
      </c>
      <c r="AK9" s="4">
        <f t="shared" si="0"/>
        <v>1</v>
      </c>
      <c r="AL9" s="4">
        <f t="shared" si="0"/>
        <v>0</v>
      </c>
      <c r="AM9" s="4">
        <f t="shared" si="0"/>
        <v>3</v>
      </c>
      <c r="AN9" s="4">
        <f t="shared" si="0"/>
        <v>1</v>
      </c>
      <c r="AO9" s="4">
        <f t="shared" si="0"/>
        <v>0</v>
      </c>
      <c r="AP9" s="4">
        <f t="shared" si="0"/>
        <v>3</v>
      </c>
      <c r="AQ9" s="5">
        <f t="shared" si="0"/>
        <v>6</v>
      </c>
    </row>
    <row r="10" spans="2:43" ht="30" customHeight="1">
      <c r="B10" s="28">
        <f>+'Reporte a FCCF'!B10</f>
        <v>5</v>
      </c>
      <c r="C10" s="29" t="str">
        <f>+'Reporte a FCCF'!C10</f>
        <v>MARIELA ELIAS</v>
      </c>
      <c r="D10" s="28">
        <f>+'Reporte a FCCF'!D10</f>
        <v>0</v>
      </c>
      <c r="E10" s="30">
        <f>+'Reporte a FCCF'!E10</f>
        <v>0</v>
      </c>
      <c r="F10" s="30">
        <f>+'Reporte a FCCF'!F10</f>
        <v>0</v>
      </c>
      <c r="G10" s="30">
        <f>+'Reporte a FCCF'!G10</f>
        <v>0</v>
      </c>
      <c r="H10" s="30">
        <f>+'Reporte a FCCF'!H10</f>
        <v>0</v>
      </c>
      <c r="I10" s="30">
        <f>+'Reporte a FCCF'!I10</f>
        <v>0</v>
      </c>
      <c r="J10" s="30">
        <f>+'Reporte a FCCF'!J10</f>
        <v>0</v>
      </c>
      <c r="K10" s="31">
        <f>+'Reporte a FCCF'!K10</f>
        <v>0</v>
      </c>
      <c r="L10" s="28">
        <f>+'Reporte a FCCF'!L10</f>
        <v>1</v>
      </c>
      <c r="M10" s="30">
        <f>+'Reporte a FCCF'!M10</f>
        <v>0</v>
      </c>
      <c r="N10" s="30">
        <f>+'Reporte a FCCF'!N10</f>
        <v>0</v>
      </c>
      <c r="O10" s="30">
        <f>+'Reporte a FCCF'!O10</f>
        <v>0</v>
      </c>
      <c r="P10" s="30">
        <f>+'Reporte a FCCF'!P10</f>
        <v>3</v>
      </c>
      <c r="Q10" s="30">
        <f>+'Reporte a FCCF'!Q10</f>
        <v>2</v>
      </c>
      <c r="R10" s="30">
        <f>+'Reporte a FCCF'!R10</f>
        <v>4</v>
      </c>
      <c r="S10" s="31">
        <f>+'Reporte a FCCF'!S10</f>
        <v>5</v>
      </c>
      <c r="T10" s="28">
        <f>+'Reporte a FCCF'!T10</f>
        <v>0</v>
      </c>
      <c r="U10" s="30">
        <f>+'Reporte a FCCF'!U10</f>
        <v>0</v>
      </c>
      <c r="V10" s="30">
        <f>+'Reporte a FCCF'!V10</f>
        <v>0</v>
      </c>
      <c r="W10" s="30">
        <f>+'Reporte a FCCF'!W10</f>
        <v>0</v>
      </c>
      <c r="X10" s="30">
        <f>+'Reporte a FCCF'!X10</f>
        <v>0</v>
      </c>
      <c r="Y10" s="30">
        <f>+'Reporte a FCCF'!Y10</f>
        <v>0</v>
      </c>
      <c r="Z10" s="30">
        <f>+'Reporte a FCCF'!Z10</f>
        <v>0</v>
      </c>
      <c r="AA10" s="31">
        <f>+'Reporte a FCCF'!AA10</f>
        <v>0</v>
      </c>
      <c r="AB10" s="28">
        <f>+'Reporte a FCCF'!AB10</f>
        <v>0</v>
      </c>
      <c r="AC10" s="30">
        <f>+'Reporte a FCCF'!AC10</f>
        <v>0</v>
      </c>
      <c r="AD10" s="30">
        <f>+'Reporte a FCCF'!AD10</f>
        <v>0</v>
      </c>
      <c r="AE10" s="30">
        <f>+'Reporte a FCCF'!AE10</f>
        <v>0</v>
      </c>
      <c r="AF10" s="30">
        <f>+'Reporte a FCCF'!AF10</f>
        <v>0</v>
      </c>
      <c r="AG10" s="30">
        <f>+'Reporte a FCCF'!AG10</f>
        <v>0</v>
      </c>
      <c r="AH10" s="30">
        <f>+'Reporte a FCCF'!AH10</f>
        <v>0</v>
      </c>
      <c r="AI10" s="31">
        <f>+'Reporte a FCCF'!AI10</f>
        <v>0</v>
      </c>
      <c r="AJ10" s="8">
        <f t="shared" si="0"/>
        <v>1</v>
      </c>
      <c r="AK10" s="4">
        <f t="shared" si="0"/>
        <v>0</v>
      </c>
      <c r="AL10" s="4">
        <f t="shared" si="0"/>
        <v>0</v>
      </c>
      <c r="AM10" s="4">
        <f t="shared" si="0"/>
        <v>0</v>
      </c>
      <c r="AN10" s="4">
        <f t="shared" si="0"/>
        <v>3</v>
      </c>
      <c r="AO10" s="4">
        <f t="shared" si="0"/>
        <v>2</v>
      </c>
      <c r="AP10" s="4">
        <f t="shared" si="0"/>
        <v>4</v>
      </c>
      <c r="AQ10" s="5">
        <f t="shared" si="0"/>
        <v>5</v>
      </c>
    </row>
    <row r="11" spans="2:43" ht="30" customHeight="1">
      <c r="B11" s="28">
        <f>+'Reporte a FCCF'!B11</f>
        <v>6</v>
      </c>
      <c r="C11" s="29" t="str">
        <f>+'Reporte a FCCF'!C11</f>
        <v>MALENA ZUCCARINO</v>
      </c>
      <c r="D11" s="28">
        <f>+'Reporte a FCCF'!D11</f>
        <v>0</v>
      </c>
      <c r="E11" s="30">
        <f>+'Reporte a FCCF'!E11</f>
        <v>0</v>
      </c>
      <c r="F11" s="30">
        <f>+'Reporte a FCCF'!F11</f>
        <v>0</v>
      </c>
      <c r="G11" s="30">
        <f>+'Reporte a FCCF'!G11</f>
        <v>0</v>
      </c>
      <c r="H11" s="30">
        <f>+'Reporte a FCCF'!H11</f>
        <v>0</v>
      </c>
      <c r="I11" s="30">
        <f>+'Reporte a FCCF'!I11</f>
        <v>0</v>
      </c>
      <c r="J11" s="30">
        <f>+'Reporte a FCCF'!J11</f>
        <v>0</v>
      </c>
      <c r="K11" s="31">
        <f>+'Reporte a FCCF'!K11</f>
        <v>0</v>
      </c>
      <c r="L11" s="28">
        <f>+'Reporte a FCCF'!L11</f>
        <v>4</v>
      </c>
      <c r="M11" s="30">
        <f>+'Reporte a FCCF'!M11</f>
        <v>2</v>
      </c>
      <c r="N11" s="30">
        <f>+'Reporte a FCCF'!N11</f>
        <v>0</v>
      </c>
      <c r="O11" s="30">
        <f>+'Reporte a FCCF'!O11</f>
        <v>2</v>
      </c>
      <c r="P11" s="30">
        <f>+'Reporte a FCCF'!P11</f>
        <v>1</v>
      </c>
      <c r="Q11" s="30">
        <f>+'Reporte a FCCF'!Q11</f>
        <v>0</v>
      </c>
      <c r="R11" s="30">
        <f>+'Reporte a FCCF'!R11</f>
        <v>0</v>
      </c>
      <c r="S11" s="31">
        <f>+'Reporte a FCCF'!S11</f>
        <v>3</v>
      </c>
      <c r="T11" s="28">
        <f>+'Reporte a FCCF'!T11</f>
        <v>0</v>
      </c>
      <c r="U11" s="30">
        <f>+'Reporte a FCCF'!U11</f>
        <v>0</v>
      </c>
      <c r="V11" s="30">
        <f>+'Reporte a FCCF'!V11</f>
        <v>0</v>
      </c>
      <c r="W11" s="30">
        <f>+'Reporte a FCCF'!W11</f>
        <v>0</v>
      </c>
      <c r="X11" s="30">
        <f>+'Reporte a FCCF'!X11</f>
        <v>0</v>
      </c>
      <c r="Y11" s="30">
        <f>+'Reporte a FCCF'!Y11</f>
        <v>0</v>
      </c>
      <c r="Z11" s="30">
        <f>+'Reporte a FCCF'!Z11</f>
        <v>0</v>
      </c>
      <c r="AA11" s="31">
        <f>+'Reporte a FCCF'!AA11</f>
        <v>0</v>
      </c>
      <c r="AB11" s="28">
        <f>+'Reporte a FCCF'!AB11</f>
        <v>0</v>
      </c>
      <c r="AC11" s="30">
        <f>+'Reporte a FCCF'!AC11</f>
        <v>0</v>
      </c>
      <c r="AD11" s="30">
        <f>+'Reporte a FCCF'!AD11</f>
        <v>0</v>
      </c>
      <c r="AE11" s="30">
        <f>+'Reporte a FCCF'!AE11</f>
        <v>0</v>
      </c>
      <c r="AF11" s="30">
        <f>+'Reporte a FCCF'!AF11</f>
        <v>0</v>
      </c>
      <c r="AG11" s="30">
        <f>+'Reporte a FCCF'!AG11</f>
        <v>0</v>
      </c>
      <c r="AH11" s="30">
        <f>+'Reporte a FCCF'!AH11</f>
        <v>0</v>
      </c>
      <c r="AI11" s="31">
        <f>+'Reporte a FCCF'!AI11</f>
        <v>0</v>
      </c>
      <c r="AJ11" s="8">
        <f t="shared" si="0"/>
        <v>4</v>
      </c>
      <c r="AK11" s="4">
        <f t="shared" si="0"/>
        <v>2</v>
      </c>
      <c r="AL11" s="4">
        <f t="shared" si="0"/>
        <v>0</v>
      </c>
      <c r="AM11" s="4">
        <f t="shared" si="0"/>
        <v>2</v>
      </c>
      <c r="AN11" s="4">
        <f t="shared" si="0"/>
        <v>1</v>
      </c>
      <c r="AO11" s="4">
        <f t="shared" si="0"/>
        <v>0</v>
      </c>
      <c r="AP11" s="4">
        <f t="shared" si="0"/>
        <v>0</v>
      </c>
      <c r="AQ11" s="5">
        <f t="shared" si="0"/>
        <v>3</v>
      </c>
    </row>
    <row r="12" spans="2:43" ht="30" customHeight="1">
      <c r="B12" s="28">
        <f>+'Reporte a FCCF'!B12</f>
        <v>7</v>
      </c>
      <c r="C12" s="29" t="str">
        <f>+'Reporte a FCCF'!C12</f>
        <v>JIMENA GARCIA</v>
      </c>
      <c r="D12" s="28">
        <f>+'Reporte a FCCF'!D12</f>
        <v>11</v>
      </c>
      <c r="E12" s="30">
        <f>+'Reporte a FCCF'!E12</f>
        <v>5</v>
      </c>
      <c r="F12" s="30">
        <f>+'Reporte a FCCF'!F12</f>
        <v>0</v>
      </c>
      <c r="G12" s="30">
        <f>+'Reporte a FCCF'!G12</f>
        <v>0</v>
      </c>
      <c r="H12" s="30">
        <f>+'Reporte a FCCF'!H12</f>
        <v>0</v>
      </c>
      <c r="I12" s="30">
        <f>+'Reporte a FCCF'!I12</f>
        <v>1</v>
      </c>
      <c r="J12" s="30">
        <f>+'Reporte a FCCF'!J12</f>
        <v>2</v>
      </c>
      <c r="K12" s="31">
        <f>+'Reporte a FCCF'!K12</f>
        <v>2</v>
      </c>
      <c r="L12" s="28">
        <f>+'Reporte a FCCF'!L12</f>
        <v>9</v>
      </c>
      <c r="M12" s="30">
        <f>+'Reporte a FCCF'!M12</f>
        <v>4</v>
      </c>
      <c r="N12" s="30">
        <f>+'Reporte a FCCF'!N12</f>
        <v>0</v>
      </c>
      <c r="O12" s="30">
        <f>+'Reporte a FCCF'!O12</f>
        <v>1</v>
      </c>
      <c r="P12" s="30">
        <f>+'Reporte a FCCF'!P12</f>
        <v>0</v>
      </c>
      <c r="Q12" s="30">
        <f>+'Reporte a FCCF'!Q12</f>
        <v>0</v>
      </c>
      <c r="R12" s="30">
        <f>+'Reporte a FCCF'!R12</f>
        <v>1</v>
      </c>
      <c r="S12" s="31">
        <f>+'Reporte a FCCF'!S12</f>
        <v>1</v>
      </c>
      <c r="T12" s="28">
        <f>+'Reporte a FCCF'!T12</f>
        <v>0</v>
      </c>
      <c r="U12" s="30">
        <f>+'Reporte a FCCF'!U12</f>
        <v>0</v>
      </c>
      <c r="V12" s="30">
        <f>+'Reporte a FCCF'!V12</f>
        <v>0</v>
      </c>
      <c r="W12" s="30">
        <f>+'Reporte a FCCF'!W12</f>
        <v>0</v>
      </c>
      <c r="X12" s="30">
        <f>+'Reporte a FCCF'!X12</f>
        <v>0</v>
      </c>
      <c r="Y12" s="30">
        <f>+'Reporte a FCCF'!Y12</f>
        <v>0</v>
      </c>
      <c r="Z12" s="30">
        <f>+'Reporte a FCCF'!Z12</f>
        <v>0</v>
      </c>
      <c r="AA12" s="31">
        <f>+'Reporte a FCCF'!AA12</f>
        <v>0</v>
      </c>
      <c r="AB12" s="28">
        <f>+'Reporte a FCCF'!AB12</f>
        <v>0</v>
      </c>
      <c r="AC12" s="30">
        <f>+'Reporte a FCCF'!AC12</f>
        <v>0</v>
      </c>
      <c r="AD12" s="30">
        <f>+'Reporte a FCCF'!AD12</f>
        <v>0</v>
      </c>
      <c r="AE12" s="30">
        <f>+'Reporte a FCCF'!AE12</f>
        <v>0</v>
      </c>
      <c r="AF12" s="30">
        <f>+'Reporte a FCCF'!AF12</f>
        <v>0</v>
      </c>
      <c r="AG12" s="30">
        <f>+'Reporte a FCCF'!AG12</f>
        <v>0</v>
      </c>
      <c r="AH12" s="30">
        <f>+'Reporte a FCCF'!AH12</f>
        <v>0</v>
      </c>
      <c r="AI12" s="31">
        <f>+'Reporte a FCCF'!AI12</f>
        <v>0</v>
      </c>
      <c r="AJ12" s="8">
        <f t="shared" si="0"/>
        <v>20</v>
      </c>
      <c r="AK12" s="4">
        <f t="shared" si="0"/>
        <v>9</v>
      </c>
      <c r="AL12" s="4">
        <f t="shared" si="0"/>
        <v>0</v>
      </c>
      <c r="AM12" s="4">
        <f t="shared" si="0"/>
        <v>1</v>
      </c>
      <c r="AN12" s="4">
        <f t="shared" si="0"/>
        <v>0</v>
      </c>
      <c r="AO12" s="4">
        <f t="shared" si="0"/>
        <v>1</v>
      </c>
      <c r="AP12" s="4">
        <f t="shared" si="0"/>
        <v>3</v>
      </c>
      <c r="AQ12" s="5">
        <f t="shared" si="0"/>
        <v>3</v>
      </c>
    </row>
    <row r="13" spans="2:43" ht="30" customHeight="1">
      <c r="B13" s="28">
        <f>+'Reporte a FCCF'!B13</f>
        <v>8</v>
      </c>
      <c r="C13" s="29" t="str">
        <f>+'Reporte a FCCF'!C13</f>
        <v>SOFIA NAÓN</v>
      </c>
      <c r="D13" s="28">
        <f>+'Reporte a FCCF'!D13</f>
        <v>6</v>
      </c>
      <c r="E13" s="30">
        <f>+'Reporte a FCCF'!E13</f>
        <v>3</v>
      </c>
      <c r="F13" s="30">
        <f>+'Reporte a FCCF'!F13</f>
        <v>0</v>
      </c>
      <c r="G13" s="30">
        <f>+'Reporte a FCCF'!G13</f>
        <v>0</v>
      </c>
      <c r="H13" s="30">
        <f>+'Reporte a FCCF'!H13</f>
        <v>3</v>
      </c>
      <c r="I13" s="30">
        <f>+'Reporte a FCCF'!I13</f>
        <v>0</v>
      </c>
      <c r="J13" s="30">
        <f>+'Reporte a FCCF'!J13</f>
        <v>3</v>
      </c>
      <c r="K13" s="31">
        <f>+'Reporte a FCCF'!K13</f>
        <v>2</v>
      </c>
      <c r="L13" s="28">
        <f>+'Reporte a FCCF'!L13</f>
        <v>8</v>
      </c>
      <c r="M13" s="30">
        <f>+'Reporte a FCCF'!M13</f>
        <v>5</v>
      </c>
      <c r="N13" s="30">
        <f>+'Reporte a FCCF'!N13</f>
        <v>0</v>
      </c>
      <c r="O13" s="30">
        <f>+'Reporte a FCCF'!O13</f>
        <v>2</v>
      </c>
      <c r="P13" s="30">
        <f>+'Reporte a FCCF'!P13</f>
        <v>0</v>
      </c>
      <c r="Q13" s="30">
        <f>+'Reporte a FCCF'!Q13</f>
        <v>1</v>
      </c>
      <c r="R13" s="30">
        <f>+'Reporte a FCCF'!R13</f>
        <v>0</v>
      </c>
      <c r="S13" s="31">
        <f>+'Reporte a FCCF'!S13</f>
        <v>3</v>
      </c>
      <c r="T13" s="28">
        <f>+'Reporte a FCCF'!T13</f>
        <v>0</v>
      </c>
      <c r="U13" s="30">
        <f>+'Reporte a FCCF'!U13</f>
        <v>0</v>
      </c>
      <c r="V13" s="30">
        <f>+'Reporte a FCCF'!V13</f>
        <v>0</v>
      </c>
      <c r="W13" s="30">
        <f>+'Reporte a FCCF'!W13</f>
        <v>0</v>
      </c>
      <c r="X13" s="30">
        <f>+'Reporte a FCCF'!X13</f>
        <v>0</v>
      </c>
      <c r="Y13" s="30">
        <f>+'Reporte a FCCF'!Y13</f>
        <v>0</v>
      </c>
      <c r="Z13" s="30">
        <f>+'Reporte a FCCF'!Z13</f>
        <v>0</v>
      </c>
      <c r="AA13" s="31">
        <f>+'Reporte a FCCF'!AA13</f>
        <v>0</v>
      </c>
      <c r="AB13" s="28">
        <f>+'Reporte a FCCF'!AB13</f>
        <v>0</v>
      </c>
      <c r="AC13" s="30">
        <f>+'Reporte a FCCF'!AC13</f>
        <v>0</v>
      </c>
      <c r="AD13" s="30">
        <f>+'Reporte a FCCF'!AD13</f>
        <v>0</v>
      </c>
      <c r="AE13" s="30">
        <f>+'Reporte a FCCF'!AE13</f>
        <v>0</v>
      </c>
      <c r="AF13" s="30">
        <f>+'Reporte a FCCF'!AF13</f>
        <v>0</v>
      </c>
      <c r="AG13" s="30">
        <f>+'Reporte a FCCF'!AG13</f>
        <v>0</v>
      </c>
      <c r="AH13" s="30">
        <f>+'Reporte a FCCF'!AH13</f>
        <v>0</v>
      </c>
      <c r="AI13" s="31">
        <f>+'Reporte a FCCF'!AI13</f>
        <v>0</v>
      </c>
      <c r="AJ13" s="8">
        <f t="shared" si="0"/>
        <v>14</v>
      </c>
      <c r="AK13" s="4">
        <f t="shared" si="0"/>
        <v>8</v>
      </c>
      <c r="AL13" s="4">
        <f t="shared" si="0"/>
        <v>0</v>
      </c>
      <c r="AM13" s="4">
        <f t="shared" si="0"/>
        <v>2</v>
      </c>
      <c r="AN13" s="4">
        <f t="shared" si="0"/>
        <v>3</v>
      </c>
      <c r="AO13" s="4">
        <f t="shared" si="0"/>
        <v>1</v>
      </c>
      <c r="AP13" s="4">
        <f t="shared" si="0"/>
        <v>3</v>
      </c>
      <c r="AQ13" s="5">
        <f t="shared" si="0"/>
        <v>5</v>
      </c>
    </row>
    <row r="14" spans="2:43" ht="30" customHeight="1">
      <c r="B14" s="28">
        <f>+'Reporte a FCCF'!B14</f>
        <v>9</v>
      </c>
      <c r="C14" s="29" t="str">
        <f>+'Reporte a FCCF'!C14</f>
        <v>VICTORIA FONTAN</v>
      </c>
      <c r="D14" s="28">
        <f>+'Reporte a FCCF'!D14</f>
        <v>1</v>
      </c>
      <c r="E14" s="30">
        <f>+'Reporte a FCCF'!E14</f>
        <v>0</v>
      </c>
      <c r="F14" s="30">
        <f>+'Reporte a FCCF'!F14</f>
        <v>0</v>
      </c>
      <c r="G14" s="30">
        <f>+'Reporte a FCCF'!G14</f>
        <v>0</v>
      </c>
      <c r="H14" s="30">
        <f>+'Reporte a FCCF'!H14</f>
        <v>7</v>
      </c>
      <c r="I14" s="30">
        <f>+'Reporte a FCCF'!I14</f>
        <v>2</v>
      </c>
      <c r="J14" s="30">
        <f>+'Reporte a FCCF'!J14</f>
        <v>1</v>
      </c>
      <c r="K14" s="31">
        <f>+'Reporte a FCCF'!K14</f>
        <v>3</v>
      </c>
      <c r="L14" s="28">
        <f>+'Reporte a FCCF'!L14</f>
        <v>4</v>
      </c>
      <c r="M14" s="30">
        <f>+'Reporte a FCCF'!M14</f>
        <v>2</v>
      </c>
      <c r="N14" s="30">
        <f>+'Reporte a FCCF'!N14</f>
        <v>0</v>
      </c>
      <c r="O14" s="30">
        <f>+'Reporte a FCCF'!O14</f>
        <v>0</v>
      </c>
      <c r="P14" s="30">
        <f>+'Reporte a FCCF'!P14</f>
        <v>10</v>
      </c>
      <c r="Q14" s="30">
        <f>+'Reporte a FCCF'!Q14</f>
        <v>0</v>
      </c>
      <c r="R14" s="30">
        <f>+'Reporte a FCCF'!R14</f>
        <v>0</v>
      </c>
      <c r="S14" s="31">
        <f>+'Reporte a FCCF'!S14</f>
        <v>1</v>
      </c>
      <c r="T14" s="28">
        <f>+'Reporte a FCCF'!T14</f>
        <v>0</v>
      </c>
      <c r="U14" s="30">
        <f>+'Reporte a FCCF'!U14</f>
        <v>0</v>
      </c>
      <c r="V14" s="30">
        <f>+'Reporte a FCCF'!V14</f>
        <v>0</v>
      </c>
      <c r="W14" s="30">
        <f>+'Reporte a FCCF'!W14</f>
        <v>0</v>
      </c>
      <c r="X14" s="30">
        <f>+'Reporte a FCCF'!X14</f>
        <v>0</v>
      </c>
      <c r="Y14" s="30">
        <f>+'Reporte a FCCF'!Y14</f>
        <v>0</v>
      </c>
      <c r="Z14" s="30">
        <f>+'Reporte a FCCF'!Z14</f>
        <v>0</v>
      </c>
      <c r="AA14" s="31">
        <f>+'Reporte a FCCF'!AA14</f>
        <v>0</v>
      </c>
      <c r="AB14" s="28">
        <f>+'Reporte a FCCF'!AB14</f>
        <v>0</v>
      </c>
      <c r="AC14" s="30">
        <f>+'Reporte a FCCF'!AC14</f>
        <v>0</v>
      </c>
      <c r="AD14" s="30">
        <f>+'Reporte a FCCF'!AD14</f>
        <v>0</v>
      </c>
      <c r="AE14" s="30">
        <f>+'Reporte a FCCF'!AE14</f>
        <v>0</v>
      </c>
      <c r="AF14" s="30">
        <f>+'Reporte a FCCF'!AF14</f>
        <v>0</v>
      </c>
      <c r="AG14" s="30">
        <f>+'Reporte a FCCF'!AG14</f>
        <v>0</v>
      </c>
      <c r="AH14" s="30">
        <f>+'Reporte a FCCF'!AH14</f>
        <v>0</v>
      </c>
      <c r="AI14" s="31">
        <f>+'Reporte a FCCF'!AI14</f>
        <v>0</v>
      </c>
      <c r="AJ14" s="8">
        <f t="shared" si="0"/>
        <v>5</v>
      </c>
      <c r="AK14" s="4">
        <f t="shared" si="0"/>
        <v>2</v>
      </c>
      <c r="AL14" s="4">
        <f t="shared" si="0"/>
        <v>0</v>
      </c>
      <c r="AM14" s="4">
        <f t="shared" si="0"/>
        <v>0</v>
      </c>
      <c r="AN14" s="4">
        <f t="shared" si="0"/>
        <v>17</v>
      </c>
      <c r="AO14" s="4">
        <f t="shared" si="0"/>
        <v>2</v>
      </c>
      <c r="AP14" s="4">
        <f t="shared" si="0"/>
        <v>1</v>
      </c>
      <c r="AQ14" s="5">
        <f t="shared" si="0"/>
        <v>4</v>
      </c>
    </row>
    <row r="15" spans="2:43" ht="30" customHeight="1">
      <c r="B15" s="28">
        <f>+'Reporte a FCCF'!B15</f>
        <v>10</v>
      </c>
      <c r="C15" s="29" t="str">
        <f>+'Reporte a FCCF'!C15</f>
        <v>ZAHIRA HERRERA</v>
      </c>
      <c r="D15" s="28">
        <f>+'Reporte a FCCF'!D15</f>
        <v>0</v>
      </c>
      <c r="E15" s="30">
        <f>+'Reporte a FCCF'!E15</f>
        <v>0</v>
      </c>
      <c r="F15" s="30">
        <f>+'Reporte a FCCF'!F15</f>
        <v>0</v>
      </c>
      <c r="G15" s="30">
        <f>+'Reporte a FCCF'!G15</f>
        <v>0</v>
      </c>
      <c r="H15" s="30">
        <f>+'Reporte a FCCF'!H15</f>
        <v>1</v>
      </c>
      <c r="I15" s="30">
        <f>+'Reporte a FCCF'!I15</f>
        <v>0</v>
      </c>
      <c r="J15" s="30">
        <f>+'Reporte a FCCF'!J15</f>
        <v>1</v>
      </c>
      <c r="K15" s="31">
        <f>+'Reporte a FCCF'!K15</f>
        <v>3</v>
      </c>
      <c r="L15" s="28">
        <f>+'Reporte a FCCF'!L15</f>
        <v>0</v>
      </c>
      <c r="M15" s="30">
        <f>+'Reporte a FCCF'!M15</f>
        <v>0</v>
      </c>
      <c r="N15" s="30">
        <f>+'Reporte a FCCF'!N15</f>
        <v>0</v>
      </c>
      <c r="O15" s="30">
        <f>+'Reporte a FCCF'!O15</f>
        <v>0</v>
      </c>
      <c r="P15" s="30">
        <f>+'Reporte a FCCF'!P15</f>
        <v>0</v>
      </c>
      <c r="Q15" s="30">
        <f>+'Reporte a FCCF'!Q15</f>
        <v>1</v>
      </c>
      <c r="R15" s="30">
        <f>+'Reporte a FCCF'!R15</f>
        <v>0</v>
      </c>
      <c r="S15" s="31">
        <f>+'Reporte a FCCF'!S15</f>
        <v>3</v>
      </c>
      <c r="T15" s="28">
        <f>+'Reporte a FCCF'!T15</f>
        <v>0</v>
      </c>
      <c r="U15" s="30">
        <f>+'Reporte a FCCF'!U15</f>
        <v>0</v>
      </c>
      <c r="V15" s="30">
        <f>+'Reporte a FCCF'!V15</f>
        <v>0</v>
      </c>
      <c r="W15" s="30">
        <f>+'Reporte a FCCF'!W15</f>
        <v>0</v>
      </c>
      <c r="X15" s="30">
        <f>+'Reporte a FCCF'!X15</f>
        <v>0</v>
      </c>
      <c r="Y15" s="30">
        <f>+'Reporte a FCCF'!Y15</f>
        <v>0</v>
      </c>
      <c r="Z15" s="30">
        <f>+'Reporte a FCCF'!Z15</f>
        <v>0</v>
      </c>
      <c r="AA15" s="31">
        <f>+'Reporte a FCCF'!AA15</f>
        <v>0</v>
      </c>
      <c r="AB15" s="28">
        <f>+'Reporte a FCCF'!AB15</f>
        <v>0</v>
      </c>
      <c r="AC15" s="30">
        <f>+'Reporte a FCCF'!AC15</f>
        <v>0</v>
      </c>
      <c r="AD15" s="30">
        <f>+'Reporte a FCCF'!AD15</f>
        <v>0</v>
      </c>
      <c r="AE15" s="30">
        <f>+'Reporte a FCCF'!AE15</f>
        <v>0</v>
      </c>
      <c r="AF15" s="30">
        <f>+'Reporte a FCCF'!AF15</f>
        <v>0</v>
      </c>
      <c r="AG15" s="30">
        <f>+'Reporte a FCCF'!AG15</f>
        <v>0</v>
      </c>
      <c r="AH15" s="30">
        <f>+'Reporte a FCCF'!AH15</f>
        <v>0</v>
      </c>
      <c r="AI15" s="31">
        <f>+'Reporte a FCCF'!AI15</f>
        <v>0</v>
      </c>
      <c r="AJ15" s="8">
        <f t="shared" si="0"/>
        <v>0</v>
      </c>
      <c r="AK15" s="4">
        <f t="shared" si="0"/>
        <v>0</v>
      </c>
      <c r="AL15" s="4">
        <f t="shared" si="0"/>
        <v>0</v>
      </c>
      <c r="AM15" s="4">
        <f t="shared" si="0"/>
        <v>0</v>
      </c>
      <c r="AN15" s="4">
        <f t="shared" si="0"/>
        <v>1</v>
      </c>
      <c r="AO15" s="4">
        <f t="shared" si="0"/>
        <v>1</v>
      </c>
      <c r="AP15" s="4">
        <f t="shared" si="0"/>
        <v>1</v>
      </c>
      <c r="AQ15" s="5">
        <f t="shared" si="0"/>
        <v>6</v>
      </c>
    </row>
    <row r="16" spans="2:43" ht="30" customHeight="1">
      <c r="B16" s="28">
        <f>+'Reporte a FCCF'!B16</f>
        <v>11</v>
      </c>
      <c r="C16" s="29" t="str">
        <f>+'Reporte a FCCF'!C16</f>
        <v>LUCILA GRANATELLI</v>
      </c>
      <c r="D16" s="28">
        <f>+'Reporte a FCCF'!D16</f>
        <v>9</v>
      </c>
      <c r="E16" s="30">
        <f>+'Reporte a FCCF'!E16</f>
        <v>6</v>
      </c>
      <c r="F16" s="30">
        <f>+'Reporte a FCCF'!F16</f>
        <v>0</v>
      </c>
      <c r="G16" s="30">
        <f>+'Reporte a FCCF'!G16</f>
        <v>1</v>
      </c>
      <c r="H16" s="30">
        <f>+'Reporte a FCCF'!H16</f>
        <v>1</v>
      </c>
      <c r="I16" s="30">
        <f>+'Reporte a FCCF'!I16</f>
        <v>0</v>
      </c>
      <c r="J16" s="30">
        <f>+'Reporte a FCCF'!J16</f>
        <v>0</v>
      </c>
      <c r="K16" s="31">
        <f>+'Reporte a FCCF'!K16</f>
        <v>4</v>
      </c>
      <c r="L16" s="28">
        <f>+'Reporte a FCCF'!L16</f>
        <v>7</v>
      </c>
      <c r="M16" s="30">
        <f>+'Reporte a FCCF'!M16</f>
        <v>5</v>
      </c>
      <c r="N16" s="30">
        <f>+'Reporte a FCCF'!N16</f>
        <v>0</v>
      </c>
      <c r="O16" s="30">
        <f>+'Reporte a FCCF'!O16</f>
        <v>2</v>
      </c>
      <c r="P16" s="30">
        <f>+'Reporte a FCCF'!P16</f>
        <v>0</v>
      </c>
      <c r="Q16" s="30">
        <f>+'Reporte a FCCF'!Q16</f>
        <v>0</v>
      </c>
      <c r="R16" s="30">
        <f>+'Reporte a FCCF'!R16</f>
        <v>1</v>
      </c>
      <c r="S16" s="31">
        <f>+'Reporte a FCCF'!S16</f>
        <v>0</v>
      </c>
      <c r="T16" s="28">
        <f>+'Reporte a FCCF'!T16</f>
        <v>0</v>
      </c>
      <c r="U16" s="30">
        <f>+'Reporte a FCCF'!U16</f>
        <v>0</v>
      </c>
      <c r="V16" s="30">
        <f>+'Reporte a FCCF'!V16</f>
        <v>0</v>
      </c>
      <c r="W16" s="30">
        <f>+'Reporte a FCCF'!W16</f>
        <v>0</v>
      </c>
      <c r="X16" s="30">
        <f>+'Reporte a FCCF'!X16</f>
        <v>0</v>
      </c>
      <c r="Y16" s="30">
        <f>+'Reporte a FCCF'!Y16</f>
        <v>0</v>
      </c>
      <c r="Z16" s="30">
        <f>+'Reporte a FCCF'!Z16</f>
        <v>0</v>
      </c>
      <c r="AA16" s="31">
        <f>+'Reporte a FCCF'!AA16</f>
        <v>0</v>
      </c>
      <c r="AB16" s="28">
        <f>+'Reporte a FCCF'!AB16</f>
        <v>0</v>
      </c>
      <c r="AC16" s="30">
        <f>+'Reporte a FCCF'!AC16</f>
        <v>0</v>
      </c>
      <c r="AD16" s="30">
        <f>+'Reporte a FCCF'!AD16</f>
        <v>0</v>
      </c>
      <c r="AE16" s="30">
        <f>+'Reporte a FCCF'!AE16</f>
        <v>0</v>
      </c>
      <c r="AF16" s="30">
        <f>+'Reporte a FCCF'!AF16</f>
        <v>0</v>
      </c>
      <c r="AG16" s="30">
        <f>+'Reporte a FCCF'!AG16</f>
        <v>0</v>
      </c>
      <c r="AH16" s="30">
        <f>+'Reporte a FCCF'!AH16</f>
        <v>0</v>
      </c>
      <c r="AI16" s="31">
        <f>+'Reporte a FCCF'!AI16</f>
        <v>0</v>
      </c>
      <c r="AJ16" s="8">
        <f t="shared" si="0"/>
        <v>16</v>
      </c>
      <c r="AK16" s="4">
        <f t="shared" si="0"/>
        <v>11</v>
      </c>
      <c r="AL16" s="4">
        <f t="shared" si="0"/>
        <v>0</v>
      </c>
      <c r="AM16" s="4">
        <f t="shared" si="0"/>
        <v>3</v>
      </c>
      <c r="AN16" s="4">
        <f t="shared" si="0"/>
        <v>1</v>
      </c>
      <c r="AO16" s="4">
        <f t="shared" si="0"/>
        <v>0</v>
      </c>
      <c r="AP16" s="4">
        <f t="shared" si="0"/>
        <v>1</v>
      </c>
      <c r="AQ16" s="5">
        <f t="shared" si="0"/>
        <v>4</v>
      </c>
    </row>
    <row r="17" spans="2:43" ht="30" customHeight="1">
      <c r="B17" s="28">
        <f>+'Reporte a FCCF'!B17</f>
        <v>12</v>
      </c>
      <c r="C17" s="29" t="str">
        <f>+'Reporte a FCCF'!C17</f>
        <v>MARIA PAZ GOMEZ</v>
      </c>
      <c r="D17" s="28">
        <f>+'Reporte a FCCF'!D17</f>
        <v>1</v>
      </c>
      <c r="E17" s="30">
        <f>+'Reporte a FCCF'!E17</f>
        <v>0</v>
      </c>
      <c r="F17" s="30">
        <f>+'Reporte a FCCF'!F17</f>
        <v>0</v>
      </c>
      <c r="G17" s="30">
        <f>+'Reporte a FCCF'!G17</f>
        <v>0</v>
      </c>
      <c r="H17" s="30">
        <f>+'Reporte a FCCF'!H17</f>
        <v>0</v>
      </c>
      <c r="I17" s="30">
        <f>+'Reporte a FCCF'!I17</f>
        <v>1</v>
      </c>
      <c r="J17" s="30">
        <f>+'Reporte a FCCF'!J17</f>
        <v>0</v>
      </c>
      <c r="K17" s="31">
        <f>+'Reporte a FCCF'!K17</f>
        <v>0</v>
      </c>
      <c r="L17" s="28">
        <f>+'Reporte a FCCF'!L17</f>
        <v>10</v>
      </c>
      <c r="M17" s="30">
        <f>+'Reporte a FCCF'!M17</f>
        <v>5</v>
      </c>
      <c r="N17" s="30">
        <f>+'Reporte a FCCF'!N17</f>
        <v>2</v>
      </c>
      <c r="O17" s="30">
        <f>+'Reporte a FCCF'!O17</f>
        <v>1</v>
      </c>
      <c r="P17" s="30">
        <f>+'Reporte a FCCF'!P17</f>
        <v>1</v>
      </c>
      <c r="Q17" s="30">
        <f>+'Reporte a FCCF'!Q17</f>
        <v>0</v>
      </c>
      <c r="R17" s="30">
        <f>+'Reporte a FCCF'!R17</f>
        <v>1</v>
      </c>
      <c r="S17" s="31">
        <f>+'Reporte a FCCF'!S17</f>
        <v>1</v>
      </c>
      <c r="T17" s="28">
        <f>+'Reporte a FCCF'!T17</f>
        <v>0</v>
      </c>
      <c r="U17" s="30">
        <f>+'Reporte a FCCF'!U17</f>
        <v>0</v>
      </c>
      <c r="V17" s="30">
        <f>+'Reporte a FCCF'!V17</f>
        <v>0</v>
      </c>
      <c r="W17" s="30">
        <f>+'Reporte a FCCF'!W17</f>
        <v>0</v>
      </c>
      <c r="X17" s="30">
        <f>+'Reporte a FCCF'!X17</f>
        <v>0</v>
      </c>
      <c r="Y17" s="30">
        <f>+'Reporte a FCCF'!Y17</f>
        <v>0</v>
      </c>
      <c r="Z17" s="30">
        <f>+'Reporte a FCCF'!Z17</f>
        <v>0</v>
      </c>
      <c r="AA17" s="31">
        <f>+'Reporte a FCCF'!AA17</f>
        <v>0</v>
      </c>
      <c r="AB17" s="28">
        <f>+'Reporte a FCCF'!AB17</f>
        <v>0</v>
      </c>
      <c r="AC17" s="30">
        <f>+'Reporte a FCCF'!AC17</f>
        <v>0</v>
      </c>
      <c r="AD17" s="30">
        <f>+'Reporte a FCCF'!AD17</f>
        <v>0</v>
      </c>
      <c r="AE17" s="30">
        <f>+'Reporte a FCCF'!AE17</f>
        <v>0</v>
      </c>
      <c r="AF17" s="30">
        <f>+'Reporte a FCCF'!AF17</f>
        <v>0</v>
      </c>
      <c r="AG17" s="30">
        <f>+'Reporte a FCCF'!AG17</f>
        <v>0</v>
      </c>
      <c r="AH17" s="30">
        <f>+'Reporte a FCCF'!AH17</f>
        <v>0</v>
      </c>
      <c r="AI17" s="31">
        <f>+'Reporte a FCCF'!AI17</f>
        <v>0</v>
      </c>
      <c r="AJ17" s="8">
        <f t="shared" si="0"/>
        <v>11</v>
      </c>
      <c r="AK17" s="4">
        <f t="shared" si="0"/>
        <v>5</v>
      </c>
      <c r="AL17" s="4">
        <f t="shared" si="0"/>
        <v>2</v>
      </c>
      <c r="AM17" s="4">
        <f t="shared" si="0"/>
        <v>1</v>
      </c>
      <c r="AN17" s="4">
        <f t="shared" si="0"/>
        <v>1</v>
      </c>
      <c r="AO17" s="4">
        <f t="shared" si="0"/>
        <v>1</v>
      </c>
      <c r="AP17" s="4">
        <f t="shared" si="0"/>
        <v>1</v>
      </c>
      <c r="AQ17" s="5">
        <f t="shared" si="0"/>
        <v>1</v>
      </c>
    </row>
    <row r="18" spans="2:43" ht="30" customHeight="1">
      <c r="B18" s="28">
        <f>+'Reporte a FCCF'!B18</f>
        <v>14</v>
      </c>
      <c r="C18" s="29" t="str">
        <f>+'Reporte a FCCF'!C18</f>
        <v>LUCIANA BRINGAS</v>
      </c>
      <c r="D18" s="28">
        <f>+'Reporte a FCCF'!D18</f>
        <v>0</v>
      </c>
      <c r="E18" s="30">
        <f>+'Reporte a FCCF'!E18</f>
        <v>0</v>
      </c>
      <c r="F18" s="30">
        <f>+'Reporte a FCCF'!F18</f>
        <v>0</v>
      </c>
      <c r="G18" s="30">
        <f>+'Reporte a FCCF'!G18</f>
        <v>0</v>
      </c>
      <c r="H18" s="30">
        <f>+'Reporte a FCCF'!H18</f>
        <v>1</v>
      </c>
      <c r="I18" s="30">
        <f>+'Reporte a FCCF'!I18</f>
        <v>0</v>
      </c>
      <c r="J18" s="30">
        <f>+'Reporte a FCCF'!J18</f>
        <v>0</v>
      </c>
      <c r="K18" s="31">
        <f>+'Reporte a FCCF'!K18</f>
        <v>1</v>
      </c>
      <c r="L18" s="28">
        <f>+'Reporte a FCCF'!L18</f>
        <v>1</v>
      </c>
      <c r="M18" s="30">
        <f>+'Reporte a FCCF'!M18</f>
        <v>0</v>
      </c>
      <c r="N18" s="30">
        <f>+'Reporte a FCCF'!N18</f>
        <v>0</v>
      </c>
      <c r="O18" s="30">
        <f>+'Reporte a FCCF'!O18</f>
        <v>0</v>
      </c>
      <c r="P18" s="30">
        <f>+'Reporte a FCCF'!P18</f>
        <v>1</v>
      </c>
      <c r="Q18" s="30">
        <f>+'Reporte a FCCF'!Q18</f>
        <v>1</v>
      </c>
      <c r="R18" s="30">
        <f>+'Reporte a FCCF'!R18</f>
        <v>0</v>
      </c>
      <c r="S18" s="31">
        <f>+'Reporte a FCCF'!S18</f>
        <v>4</v>
      </c>
      <c r="T18" s="28">
        <f>+'Reporte a FCCF'!T18</f>
        <v>0</v>
      </c>
      <c r="U18" s="30">
        <f>+'Reporte a FCCF'!U18</f>
        <v>0</v>
      </c>
      <c r="V18" s="30">
        <f>+'Reporte a FCCF'!V18</f>
        <v>0</v>
      </c>
      <c r="W18" s="30">
        <f>+'Reporte a FCCF'!W18</f>
        <v>0</v>
      </c>
      <c r="X18" s="30">
        <f>+'Reporte a FCCF'!X18</f>
        <v>0</v>
      </c>
      <c r="Y18" s="30">
        <f>+'Reporte a FCCF'!Y18</f>
        <v>0</v>
      </c>
      <c r="Z18" s="30">
        <f>+'Reporte a FCCF'!Z18</f>
        <v>0</v>
      </c>
      <c r="AA18" s="31">
        <f>+'Reporte a FCCF'!AA18</f>
        <v>0</v>
      </c>
      <c r="AB18" s="28">
        <f>+'Reporte a FCCF'!AB18</f>
        <v>0</v>
      </c>
      <c r="AC18" s="30">
        <f>+'Reporte a FCCF'!AC18</f>
        <v>0</v>
      </c>
      <c r="AD18" s="30">
        <f>+'Reporte a FCCF'!AD18</f>
        <v>0</v>
      </c>
      <c r="AE18" s="30">
        <f>+'Reporte a FCCF'!AE18</f>
        <v>0</v>
      </c>
      <c r="AF18" s="30">
        <f>+'Reporte a FCCF'!AF18</f>
        <v>0</v>
      </c>
      <c r="AG18" s="30">
        <f>+'Reporte a FCCF'!AG18</f>
        <v>0</v>
      </c>
      <c r="AH18" s="30">
        <f>+'Reporte a FCCF'!AH18</f>
        <v>0</v>
      </c>
      <c r="AI18" s="31">
        <f>+'Reporte a FCCF'!AI18</f>
        <v>0</v>
      </c>
      <c r="AJ18" s="8">
        <f t="shared" si="0"/>
        <v>1</v>
      </c>
      <c r="AK18" s="4">
        <f t="shared" si="0"/>
        <v>0</v>
      </c>
      <c r="AL18" s="4">
        <f t="shared" si="0"/>
        <v>0</v>
      </c>
      <c r="AM18" s="4">
        <f t="shared" si="0"/>
        <v>0</v>
      </c>
      <c r="AN18" s="4">
        <f t="shared" si="0"/>
        <v>2</v>
      </c>
      <c r="AO18" s="4">
        <f t="shared" si="0"/>
        <v>1</v>
      </c>
      <c r="AP18" s="4">
        <f t="shared" si="0"/>
        <v>0</v>
      </c>
      <c r="AQ18" s="5">
        <f t="shared" si="0"/>
        <v>5</v>
      </c>
    </row>
    <row r="19" spans="2:43" ht="30" customHeight="1">
      <c r="B19" s="28">
        <f>+'Reporte a FCCF'!B19</f>
        <v>15</v>
      </c>
      <c r="C19" s="29" t="str">
        <f>+'Reporte a FCCF'!C19</f>
        <v>CANDELA THIM</v>
      </c>
      <c r="D19" s="28">
        <f>+'Reporte a FCCF'!D19</f>
        <v>4</v>
      </c>
      <c r="E19" s="30">
        <f>+'Reporte a FCCF'!E19</f>
        <v>1</v>
      </c>
      <c r="F19" s="30">
        <f>+'Reporte a FCCF'!F19</f>
        <v>0</v>
      </c>
      <c r="G19" s="30">
        <f>+'Reporte a FCCF'!G19</f>
        <v>1</v>
      </c>
      <c r="H19" s="30">
        <f>+'Reporte a FCCF'!H19</f>
        <v>0</v>
      </c>
      <c r="I19" s="30">
        <f>+'Reporte a FCCF'!I19</f>
        <v>0</v>
      </c>
      <c r="J19" s="30">
        <f>+'Reporte a FCCF'!J19</f>
        <v>1</v>
      </c>
      <c r="K19" s="31">
        <f>+'Reporte a FCCF'!K19</f>
        <v>2</v>
      </c>
      <c r="L19" s="28">
        <f>+'Reporte a FCCF'!L19</f>
        <v>0</v>
      </c>
      <c r="M19" s="30">
        <f>+'Reporte a FCCF'!M19</f>
        <v>0</v>
      </c>
      <c r="N19" s="30">
        <f>+'Reporte a FCCF'!N19</f>
        <v>0</v>
      </c>
      <c r="O19" s="30">
        <f>+'Reporte a FCCF'!O19</f>
        <v>0</v>
      </c>
      <c r="P19" s="30">
        <f>+'Reporte a FCCF'!P19</f>
        <v>0</v>
      </c>
      <c r="Q19" s="30">
        <f>+'Reporte a FCCF'!Q19</f>
        <v>0</v>
      </c>
      <c r="R19" s="30">
        <f>+'Reporte a FCCF'!R19</f>
        <v>0</v>
      </c>
      <c r="S19" s="31">
        <f>+'Reporte a FCCF'!S19</f>
        <v>0</v>
      </c>
      <c r="T19" s="28">
        <f>+'Reporte a FCCF'!T19</f>
        <v>0</v>
      </c>
      <c r="U19" s="30">
        <f>+'Reporte a FCCF'!U19</f>
        <v>0</v>
      </c>
      <c r="V19" s="30">
        <f>+'Reporte a FCCF'!V19</f>
        <v>0</v>
      </c>
      <c r="W19" s="30">
        <f>+'Reporte a FCCF'!W19</f>
        <v>0</v>
      </c>
      <c r="X19" s="30">
        <f>+'Reporte a FCCF'!X19</f>
        <v>0</v>
      </c>
      <c r="Y19" s="30">
        <f>+'Reporte a FCCF'!Y19</f>
        <v>0</v>
      </c>
      <c r="Z19" s="30">
        <f>+'Reporte a FCCF'!Z19</f>
        <v>0</v>
      </c>
      <c r="AA19" s="31">
        <f>+'Reporte a FCCF'!AA19</f>
        <v>0</v>
      </c>
      <c r="AB19" s="28">
        <f>+'Reporte a FCCF'!AB19</f>
        <v>0</v>
      </c>
      <c r="AC19" s="30">
        <f>+'Reporte a FCCF'!AC19</f>
        <v>0</v>
      </c>
      <c r="AD19" s="30">
        <f>+'Reporte a FCCF'!AD19</f>
        <v>0</v>
      </c>
      <c r="AE19" s="30">
        <f>+'Reporte a FCCF'!AE19</f>
        <v>0</v>
      </c>
      <c r="AF19" s="30">
        <f>+'Reporte a FCCF'!AF19</f>
        <v>0</v>
      </c>
      <c r="AG19" s="30">
        <f>+'Reporte a FCCF'!AG19</f>
        <v>0</v>
      </c>
      <c r="AH19" s="30">
        <f>+'Reporte a FCCF'!AH19</f>
        <v>0</v>
      </c>
      <c r="AI19" s="31">
        <f>+'Reporte a FCCF'!AI19</f>
        <v>0</v>
      </c>
      <c r="AJ19" s="8">
        <f t="shared" si="0"/>
        <v>4</v>
      </c>
      <c r="AK19" s="4">
        <f t="shared" si="0"/>
        <v>1</v>
      </c>
      <c r="AL19" s="4">
        <f t="shared" si="0"/>
        <v>0</v>
      </c>
      <c r="AM19" s="4">
        <f t="shared" si="0"/>
        <v>1</v>
      </c>
      <c r="AN19" s="4">
        <f t="shared" si="0"/>
        <v>0</v>
      </c>
      <c r="AO19" s="4">
        <f t="shared" si="0"/>
        <v>0</v>
      </c>
      <c r="AP19" s="4">
        <f t="shared" si="0"/>
        <v>1</v>
      </c>
      <c r="AQ19" s="5">
        <f t="shared" si="0"/>
        <v>2</v>
      </c>
    </row>
    <row r="20" spans="2:43" ht="30" customHeight="1" thickBot="1">
      <c r="B20" s="32">
        <f>+'Reporte a FCCF'!B20</f>
        <v>0</v>
      </c>
      <c r="C20" s="33">
        <f>+'Reporte a FCCF'!C20</f>
        <v>0</v>
      </c>
      <c r="D20" s="32">
        <f>+'Reporte a FCCF'!D20</f>
        <v>0</v>
      </c>
      <c r="E20" s="34">
        <f>+'Reporte a FCCF'!E20</f>
        <v>0</v>
      </c>
      <c r="F20" s="34">
        <f>+'Reporte a FCCF'!F20</f>
        <v>0</v>
      </c>
      <c r="G20" s="34">
        <f>+'Reporte a FCCF'!G20</f>
        <v>0</v>
      </c>
      <c r="H20" s="34">
        <f>+'Reporte a FCCF'!H20</f>
        <v>0</v>
      </c>
      <c r="I20" s="34">
        <f>+'Reporte a FCCF'!I20</f>
        <v>0</v>
      </c>
      <c r="J20" s="34">
        <f>+'Reporte a FCCF'!J20</f>
        <v>0</v>
      </c>
      <c r="K20" s="35">
        <f>+'Reporte a FCCF'!K20</f>
        <v>0</v>
      </c>
      <c r="L20" s="32">
        <f>+'Reporte a FCCF'!L20</f>
        <v>0</v>
      </c>
      <c r="M20" s="34">
        <f>+'Reporte a FCCF'!M20</f>
        <v>0</v>
      </c>
      <c r="N20" s="34">
        <f>+'Reporte a FCCF'!N20</f>
        <v>0</v>
      </c>
      <c r="O20" s="34">
        <f>+'Reporte a FCCF'!O20</f>
        <v>0</v>
      </c>
      <c r="P20" s="34">
        <f>+'Reporte a FCCF'!P20</f>
        <v>0</v>
      </c>
      <c r="Q20" s="34">
        <f>+'Reporte a FCCF'!Q20</f>
        <v>0</v>
      </c>
      <c r="R20" s="34">
        <f>+'Reporte a FCCF'!R20</f>
        <v>0</v>
      </c>
      <c r="S20" s="35">
        <f>+'Reporte a FCCF'!S20</f>
        <v>0</v>
      </c>
      <c r="T20" s="32">
        <f>+'Reporte a FCCF'!T20</f>
        <v>0</v>
      </c>
      <c r="U20" s="34">
        <f>+'Reporte a FCCF'!U20</f>
        <v>0</v>
      </c>
      <c r="V20" s="34">
        <f>+'Reporte a FCCF'!V20</f>
        <v>0</v>
      </c>
      <c r="W20" s="34">
        <f>+'Reporte a FCCF'!W20</f>
        <v>0</v>
      </c>
      <c r="X20" s="34">
        <f>+'Reporte a FCCF'!X20</f>
        <v>0</v>
      </c>
      <c r="Y20" s="34">
        <f>+'Reporte a FCCF'!Y20</f>
        <v>0</v>
      </c>
      <c r="Z20" s="34">
        <f>+'Reporte a FCCF'!Z20</f>
        <v>0</v>
      </c>
      <c r="AA20" s="35">
        <f>+'Reporte a FCCF'!AA20</f>
        <v>0</v>
      </c>
      <c r="AB20" s="32">
        <f>+'Reporte a FCCF'!AB20</f>
        <v>0</v>
      </c>
      <c r="AC20" s="34">
        <f>+'Reporte a FCCF'!AC20</f>
        <v>0</v>
      </c>
      <c r="AD20" s="34">
        <f>+'Reporte a FCCF'!AD20</f>
        <v>0</v>
      </c>
      <c r="AE20" s="34">
        <f>+'Reporte a FCCF'!AE20</f>
        <v>0</v>
      </c>
      <c r="AF20" s="34">
        <f>+'Reporte a FCCF'!AF20</f>
        <v>0</v>
      </c>
      <c r="AG20" s="34">
        <f>+'Reporte a FCCF'!AG20</f>
        <v>0</v>
      </c>
      <c r="AH20" s="34">
        <f>+'Reporte a FCCF'!AH20</f>
        <v>0</v>
      </c>
      <c r="AI20" s="35">
        <f>+'Reporte a FCCF'!AI20</f>
        <v>0</v>
      </c>
      <c r="AJ20" s="9">
        <f t="shared" si="0"/>
        <v>0</v>
      </c>
      <c r="AK20" s="10">
        <f t="shared" si="0"/>
        <v>0</v>
      </c>
      <c r="AL20" s="10">
        <f t="shared" si="0"/>
        <v>0</v>
      </c>
      <c r="AM20" s="10">
        <f t="shared" si="0"/>
        <v>0</v>
      </c>
      <c r="AN20" s="10">
        <f t="shared" si="0"/>
        <v>0</v>
      </c>
      <c r="AO20" s="10">
        <f t="shared" si="0"/>
        <v>0</v>
      </c>
      <c r="AP20" s="10">
        <f t="shared" si="0"/>
        <v>0</v>
      </c>
      <c r="AQ20" s="11">
        <f t="shared" si="0"/>
        <v>0</v>
      </c>
    </row>
    <row r="21" spans="2:43" ht="7.5" customHeight="1" thickBot="1"/>
    <row r="22" spans="2:43" ht="30" customHeight="1" thickBot="1">
      <c r="B22" s="41" t="s">
        <v>13</v>
      </c>
      <c r="C22" s="42"/>
      <c r="D22" s="22">
        <f>SUM(D9:D20)</f>
        <v>36</v>
      </c>
      <c r="E22" s="23">
        <f t="shared" ref="E22:AQ22" si="1">SUM(E9:E20)</f>
        <v>16</v>
      </c>
      <c r="F22" s="23">
        <f t="shared" si="1"/>
        <v>0</v>
      </c>
      <c r="G22" s="23">
        <f t="shared" si="1"/>
        <v>4</v>
      </c>
      <c r="H22" s="23">
        <f t="shared" si="1"/>
        <v>14</v>
      </c>
      <c r="I22" s="23">
        <f t="shared" si="1"/>
        <v>4</v>
      </c>
      <c r="J22" s="23">
        <f t="shared" si="1"/>
        <v>10</v>
      </c>
      <c r="K22" s="24">
        <f t="shared" si="1"/>
        <v>18</v>
      </c>
      <c r="L22" s="25">
        <f t="shared" si="1"/>
        <v>44</v>
      </c>
      <c r="M22" s="26">
        <f t="shared" si="1"/>
        <v>23</v>
      </c>
      <c r="N22" s="26">
        <f t="shared" si="1"/>
        <v>2</v>
      </c>
      <c r="O22" s="26">
        <f t="shared" si="1"/>
        <v>9</v>
      </c>
      <c r="P22" s="26">
        <f t="shared" si="1"/>
        <v>16</v>
      </c>
      <c r="Q22" s="26">
        <f t="shared" si="1"/>
        <v>5</v>
      </c>
      <c r="R22" s="26">
        <f t="shared" si="1"/>
        <v>8</v>
      </c>
      <c r="S22" s="27">
        <f t="shared" si="1"/>
        <v>26</v>
      </c>
      <c r="T22" s="22">
        <f t="shared" si="1"/>
        <v>0</v>
      </c>
      <c r="U22" s="23">
        <f t="shared" si="1"/>
        <v>0</v>
      </c>
      <c r="V22" s="23">
        <f t="shared" si="1"/>
        <v>0</v>
      </c>
      <c r="W22" s="23">
        <f t="shared" si="1"/>
        <v>0</v>
      </c>
      <c r="X22" s="23">
        <f t="shared" si="1"/>
        <v>0</v>
      </c>
      <c r="Y22" s="23">
        <f t="shared" si="1"/>
        <v>0</v>
      </c>
      <c r="Z22" s="23">
        <f t="shared" si="1"/>
        <v>0</v>
      </c>
      <c r="AA22" s="24">
        <f t="shared" si="1"/>
        <v>0</v>
      </c>
      <c r="AB22" s="25">
        <f t="shared" si="1"/>
        <v>0</v>
      </c>
      <c r="AC22" s="26">
        <f t="shared" si="1"/>
        <v>0</v>
      </c>
      <c r="AD22" s="26">
        <f t="shared" si="1"/>
        <v>0</v>
      </c>
      <c r="AE22" s="26">
        <f t="shared" si="1"/>
        <v>0</v>
      </c>
      <c r="AF22" s="26">
        <f t="shared" si="1"/>
        <v>0</v>
      </c>
      <c r="AG22" s="26">
        <f t="shared" si="1"/>
        <v>0</v>
      </c>
      <c r="AH22" s="26">
        <f t="shared" si="1"/>
        <v>0</v>
      </c>
      <c r="AI22" s="27">
        <f t="shared" si="1"/>
        <v>0</v>
      </c>
      <c r="AJ22" s="22">
        <f t="shared" si="1"/>
        <v>80</v>
      </c>
      <c r="AK22" s="23">
        <f t="shared" si="1"/>
        <v>39</v>
      </c>
      <c r="AL22" s="23">
        <f t="shared" si="1"/>
        <v>2</v>
      </c>
      <c r="AM22" s="23">
        <f t="shared" si="1"/>
        <v>13</v>
      </c>
      <c r="AN22" s="23">
        <f t="shared" si="1"/>
        <v>30</v>
      </c>
      <c r="AO22" s="23">
        <f t="shared" si="1"/>
        <v>9</v>
      </c>
      <c r="AP22" s="23">
        <f t="shared" si="1"/>
        <v>18</v>
      </c>
      <c r="AQ22" s="24">
        <f t="shared" si="1"/>
        <v>44</v>
      </c>
    </row>
    <row r="23" spans="2:43" ht="7.5" customHeight="1"/>
    <row r="24" spans="2:43">
      <c r="B24" s="6" t="s">
        <v>41</v>
      </c>
    </row>
  </sheetData>
  <sheetProtection algorithmName="SHA-512" hashValue="1kpptv5JGLbrjer90pDNWKHDrmkBTZWsDdKuDsPMozln2Qa6TQdKHHm5pkQ8LlNJHX8tj0rTHhzX6JQqU5BCIQ==" saltValue="ba+XjhXGlcxToBZ92nemaQ==" spinCount="100000" sheet="1" objects="1" scenarios="1"/>
  <mergeCells count="45">
    <mergeCell ref="AO7:AO8"/>
    <mergeCell ref="AP7:AP8"/>
    <mergeCell ref="AQ7:AQ8"/>
    <mergeCell ref="B22:C22"/>
    <mergeCell ref="AG7:AG8"/>
    <mergeCell ref="AH7:AH8"/>
    <mergeCell ref="AI7:AI8"/>
    <mergeCell ref="AJ7:AJ8"/>
    <mergeCell ref="AK7:AL7"/>
    <mergeCell ref="AM7:AN7"/>
    <mergeCell ref="Y7:Y8"/>
    <mergeCell ref="Z7:Z8"/>
    <mergeCell ref="AA7:AA8"/>
    <mergeCell ref="AB7:AB8"/>
    <mergeCell ref="AC7:AD7"/>
    <mergeCell ref="AE7:AF7"/>
    <mergeCell ref="W7:X7"/>
    <mergeCell ref="I7:I8"/>
    <mergeCell ref="J7:J8"/>
    <mergeCell ref="K7:K8"/>
    <mergeCell ref="L7:L8"/>
    <mergeCell ref="M7:N7"/>
    <mergeCell ref="O7:P7"/>
    <mergeCell ref="Q7:Q8"/>
    <mergeCell ref="R7:R8"/>
    <mergeCell ref="S7:S8"/>
    <mergeCell ref="T7:T8"/>
    <mergeCell ref="U7:V7"/>
    <mergeCell ref="D6:K6"/>
    <mergeCell ref="L6:S6"/>
    <mergeCell ref="T6:AA6"/>
    <mergeCell ref="AB6:AI6"/>
    <mergeCell ref="AJ6:AQ6"/>
    <mergeCell ref="B7:B8"/>
    <mergeCell ref="C7:C8"/>
    <mergeCell ref="D7:D8"/>
    <mergeCell ref="E7:F7"/>
    <mergeCell ref="G7:H7"/>
    <mergeCell ref="C2:E2"/>
    <mergeCell ref="G2:H2"/>
    <mergeCell ref="I2:N2"/>
    <mergeCell ref="Q2:S2"/>
    <mergeCell ref="C4:E4"/>
    <mergeCell ref="G4:H4"/>
    <mergeCell ref="I4:N4"/>
  </mergeCells>
  <dataValidations disablePrompts="1" count="1">
    <dataValidation operator="greaterThan" allowBlank="1" showInputMessage="1" showErrorMessage="1" sqref="Q2:S2" xr:uid="{3E52C4E6-48C3-4D05-AD0B-8557B27D9354}"/>
  </dataValidations>
  <pageMargins left="0.7" right="0.7" top="0.75" bottom="0.75" header="0.3" footer="0.3"/>
  <headerFooter>
    <oddFooter>&amp;L_x000D_&amp;1#&amp;"Aptos"&amp;7&amp;K000000 ***Este documento está clasificado como USO INTERNO por MOVISTAR. ***This document is classified as INTERNAL USE by MOVISTAR.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47CB7-1742-49BF-9A57-912D33ED9AC8}">
  <dimension ref="A1:G14"/>
  <sheetViews>
    <sheetView workbookViewId="0">
      <selection activeCell="E13" sqref="E13"/>
    </sheetView>
  </sheetViews>
  <sheetFormatPr defaultColWidth="11.42578125" defaultRowHeight="14.45"/>
  <sheetData>
    <row r="1" spans="1:7">
      <c r="A1" t="s">
        <v>50</v>
      </c>
      <c r="C1" t="s">
        <v>51</v>
      </c>
      <c r="E1" t="s">
        <v>52</v>
      </c>
      <c r="G1" s="12">
        <v>45372</v>
      </c>
    </row>
    <row r="2" spans="1:7">
      <c r="A2" t="s">
        <v>8</v>
      </c>
      <c r="C2" t="s">
        <v>53</v>
      </c>
      <c r="E2" t="s">
        <v>54</v>
      </c>
    </row>
    <row r="3" spans="1:7">
      <c r="C3" t="s">
        <v>55</v>
      </c>
      <c r="E3" t="s">
        <v>56</v>
      </c>
    </row>
    <row r="4" spans="1:7">
      <c r="C4" t="s">
        <v>6</v>
      </c>
      <c r="E4" t="s">
        <v>57</v>
      </c>
    </row>
    <row r="5" spans="1:7">
      <c r="C5" t="s">
        <v>58</v>
      </c>
      <c r="E5" t="s">
        <v>3</v>
      </c>
    </row>
    <row r="6" spans="1:7">
      <c r="C6" t="s">
        <v>59</v>
      </c>
      <c r="E6" t="s">
        <v>60</v>
      </c>
    </row>
    <row r="7" spans="1:7">
      <c r="C7" t="s">
        <v>61</v>
      </c>
      <c r="E7" t="s">
        <v>62</v>
      </c>
    </row>
    <row r="8" spans="1:7">
      <c r="C8" t="s">
        <v>63</v>
      </c>
      <c r="E8" t="s">
        <v>64</v>
      </c>
    </row>
    <row r="9" spans="1:7">
      <c r="C9" t="s">
        <v>65</v>
      </c>
      <c r="E9" t="s">
        <v>66</v>
      </c>
    </row>
    <row r="10" spans="1:7">
      <c r="C10" t="s">
        <v>67</v>
      </c>
      <c r="E10" t="s">
        <v>68</v>
      </c>
    </row>
    <row r="11" spans="1:7">
      <c r="C11" t="s">
        <v>69</v>
      </c>
      <c r="E11" t="s">
        <v>70</v>
      </c>
    </row>
    <row r="12" spans="1:7">
      <c r="C12" t="s">
        <v>71</v>
      </c>
      <c r="E12" t="s">
        <v>72</v>
      </c>
    </row>
    <row r="13" spans="1:7">
      <c r="C13" t="s">
        <v>1</v>
      </c>
      <c r="E13" t="s">
        <v>73</v>
      </c>
    </row>
    <row r="14" spans="1:7">
      <c r="E14" t="s">
        <v>74</v>
      </c>
    </row>
  </sheetData>
  <sheetProtection algorithmName="SHA-512" hashValue="a61AoA+TZGQnt7eN6RmSdb+VG4NRMmhIfy2kHoVI7Dop4h/uQMwiEfBDkFuBUofww4wRsAIdIZkdxw2INEciYQ==" saltValue="0bzH335Nht1oi+xI5ks18A==" spinCount="100000" sheet="1" objects="1" scenarios="1"/>
  <sortState xmlns:xlrd2="http://schemas.microsoft.com/office/spreadsheetml/2017/richdata2" ref="A1:A2">
    <sortCondition ref="A1:A2"/>
  </sortState>
  <phoneticPr fontId="5" type="noConversion"/>
  <pageMargins left="0.7" right="0.7" top="0.75" bottom="0.75" header="0.3" footer="0.3"/>
  <headerFooter>
    <oddFooter>&amp;L_x000D_&amp;1#&amp;"Aptos"&amp;7&amp;K000000 ***Este documento está clasificado como USO INTERNO por MOVISTAR. ***This document is classified as INTERNAL USE by MOVISTAR.</oddFooter>
  </headerFooter>
</worksheet>
</file>

<file path=docMetadata/LabelInfo.xml><?xml version="1.0" encoding="utf-8"?>
<clbl:labelList xmlns:clbl="http://schemas.microsoft.com/office/2020/mipLabelMetadata">
  <clbl:label id="{ae67402c-8836-4bc5-8dc7-52e17881ec87}" enabled="1" method="Standard" siteId="{17d02e16-8b83-4168-ba0d-c61ac0d093a6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Leandro Bogliani</dc:creator>
  <cp:keywords/>
  <dc:description/>
  <cp:lastModifiedBy/>
  <cp:revision/>
  <dcterms:created xsi:type="dcterms:W3CDTF">2024-03-21T01:59:57Z</dcterms:created>
  <dcterms:modified xsi:type="dcterms:W3CDTF">2026-04-21T19:34:52Z</dcterms:modified>
  <cp:category/>
  <cp:contentStatus/>
</cp:coreProperties>
</file>